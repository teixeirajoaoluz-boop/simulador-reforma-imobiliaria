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Resumo Executivo" sheetId="1" state="visible" r:id="rId1"/>
    <sheet name="Premissas &amp; Cenários" sheetId="2" state="visible" r:id="rId2"/>
    <sheet name="Fluxo_Incorporacao" sheetId="3" state="visible" r:id="rId3"/>
    <sheet name="DRE Empreendimento" sheetId="4" state="visible" r:id="rId4"/>
    <sheet name="IRPJ_CSLL Trimestral" sheetId="5" state="visible" r:id="rId5"/>
    <sheet name="Comparativo RET" sheetId="6" state="visible" r:id="rId6"/>
    <sheet name="Relatório" sheetId="7" state="visible" r:id="rId7"/>
    <sheet name="Transição Tributária" sheetId="8" state="visible" r:id="rId8"/>
    <sheet name="Cadastro Unidades" sheetId="9" state="visible" r:id="rId9"/>
    <sheet name="Créditos &amp; RAJ" sheetId="10" state="visible" r:id="rId10"/>
    <sheet name="Matriz Normativa &amp; Governança" sheetId="11" state="visible" r:id="rId11"/>
  </sheets>
  <definedNames>
    <definedName name="_xlnm.Print_Area" localSheetId="0">'Resumo Executivo'!$B$1:$J$53</definedName>
    <definedName name="_xlnm.Print_Area" localSheetId="1">'Premissas &amp; Cenários'!$A$1:$I$82</definedName>
    <definedName name="_xlnm.Print_Area" localSheetId="2">'Fluxo_Incorporacao'!$A$1:$V$113</definedName>
    <definedName name="_xlnm.Print_Area" localSheetId="3">'DRE Empreendimento'!$A$1:$G$72</definedName>
    <definedName name="_xlnm.Print_Area" localSheetId="4">'IRPJ_CSLL Trimestral'!$A$1:$N$28</definedName>
    <definedName name="_xlnm.Print_Area" localSheetId="5">'Comparativo RET'!$A$1:$H$31</definedName>
    <definedName name="_xlnm.Print_Area" localSheetId="6">'Relatório'!$A$1:$F$47</definedName>
    <definedName name="_xlnm.Print_Area" localSheetId="7">'Transição Tributária'!$A$1:$L$25</definedName>
    <definedName name="_xlnm.Print_Area" localSheetId="8">'Cadastro Unidades'!$A$1:$I$112</definedName>
    <definedName name="_xlnm.Print_Area" localSheetId="9">'Créditos &amp; RAJ'!$A$1:$L$56</definedName>
    <definedName name="_xlnm.Print_Area" localSheetId="10">'Matriz Normativa &amp; Governança'!$A$1:$H$33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&quot;R$ &quot;#,##0;&quot;(R$ &quot;#,##0\);\-"/>
    <numFmt numFmtId="165" formatCode="#,##0;\(#,##0\);\-"/>
    <numFmt numFmtId="166" formatCode="0.0%"/>
    <numFmt numFmtId="167" formatCode="0\E"/>
  </numFmts>
  <fonts count="27">
    <font>
      <name val="Calibri"/>
      <charset val="1"/>
      <family val="2"/>
      <color theme="1"/>
      <sz val="11"/>
    </font>
    <font>
      <name val="Arial"/>
      <family val="2"/>
      <sz val="10"/>
    </font>
    <font>
      <name val="Georgia"/>
      <family val="1"/>
      <b val="1"/>
      <color rgb="FFFFFFFF"/>
      <sz val="16"/>
    </font>
    <font>
      <name val="Calibri"/>
      <family val="2"/>
      <b val="1"/>
      <sz val="11"/>
    </font>
    <font>
      <name val="Calibri"/>
      <family val="2"/>
      <b val="1"/>
      <color rgb="FF666666"/>
      <sz val="10"/>
    </font>
    <font>
      <name val="Calibri"/>
      <family val="2"/>
      <color rgb="FF666666"/>
      <sz val="10"/>
    </font>
    <font>
      <name val="Calibri"/>
      <family val="2"/>
      <b val="1"/>
      <color rgb="FF9C0006"/>
      <sz val="10"/>
    </font>
    <font>
      <name val="Calibri"/>
      <family val="2"/>
      <i val="1"/>
      <color rgb="FF666666"/>
      <sz val="10"/>
    </font>
    <font>
      <name val="Georgia"/>
      <family val="1"/>
      <b val="1"/>
      <sz val="12"/>
    </font>
    <font>
      <name val="Calibri"/>
      <family val="2"/>
      <b val="1"/>
      <color rgb="FF000000"/>
      <sz val="10"/>
    </font>
    <font>
      <name val="Calibri"/>
      <family val="2"/>
      <b val="1"/>
      <color rgb="FF008000"/>
      <sz val="10"/>
    </font>
    <font>
      <name val="Calibri"/>
      <family val="2"/>
      <b val="1"/>
      <sz val="10"/>
    </font>
    <font>
      <name val="Georgia"/>
      <family val="1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color rgb="FF008000"/>
      <sz val="10"/>
    </font>
    <font>
      <name val="Calibri"/>
      <family val="2"/>
      <color rgb="FF0000FF"/>
      <sz val="10"/>
    </font>
    <font>
      <name val="Calibri"/>
      <family val="2"/>
      <b val="1"/>
      <i val="1"/>
      <color rgb="FF000000"/>
      <sz val="10"/>
    </font>
    <font>
      <name val="Calibri"/>
      <charset val="1"/>
      <family val="2"/>
      <color theme="10"/>
      <sz val="11"/>
      <u val="single"/>
    </font>
    <font>
      <name val="Arial"/>
      <color rgb="FF000000"/>
      <sz val="10"/>
    </font>
    <font>
      <name val="Arial"/>
      <b val="1"/>
      <sz val="12"/>
    </font>
    <font>
      <name val="Arial"/>
      <color rgb="FF666666"/>
      <sz val="10"/>
    </font>
    <font>
      <name val="Arial"/>
      <b val="1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color rgb="FF008000"/>
      <sz val="10"/>
    </font>
    <font>
      <name val="Arial"/>
      <b val="1"/>
      <color rgb="FFFFFFFF"/>
      <sz val="16"/>
    </font>
    <font>
      <name val="Arial"/>
      <color rgb="FF666666"/>
      <sz val="9"/>
    </font>
  </fonts>
  <fills count="12">
    <fill>
      <patternFill/>
    </fill>
    <fill>
      <patternFill patternType="gray125"/>
    </fill>
    <fill>
      <patternFill patternType="solid">
        <fgColor rgb="FF135B4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CFE9E0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DDEBF7"/>
        <bgColor rgb="FFCFE9E0"/>
      </patternFill>
    </fill>
    <fill>
      <patternFill patternType="solid">
        <fgColor rgb="FFF3F8F5"/>
        <bgColor rgb="FFFFFFFF"/>
      </patternFill>
    </fill>
    <fill>
      <patternFill patternType="solid">
        <fgColor rgb="FFCFE9E0"/>
      </patternFill>
    </fill>
    <fill>
      <patternFill patternType="solid">
        <fgColor rgb="FFDDEBF7"/>
      </patternFill>
    </fill>
    <fill>
      <patternFill patternType="solid">
        <fgColor rgb="FF135B44"/>
      </patternFill>
    </fill>
  </fills>
  <borders count="9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medium">
        <color rgb="FF135B44"/>
      </top>
      <bottom style="medium">
        <color rgb="FF135B44"/>
      </bottom>
      <diagonal/>
    </border>
    <border>
      <left/>
      <right/>
      <top style="medium">
        <color rgb="FF135B44"/>
      </top>
      <bottom/>
      <diagonal/>
    </border>
    <border>
      <left/>
      <right/>
      <top style="medium">
        <color rgb="FF135B44"/>
      </top>
      <bottom style="double">
        <color rgb="FF135B44"/>
      </bottom>
      <diagonal/>
    </border>
    <border>
      <left/>
      <right/>
      <top style="thin">
        <color rgb="FFB7B7B7"/>
      </top>
      <bottom/>
      <diagonal/>
    </border>
    <border>
      <left/>
      <right/>
      <top style="thin">
        <color rgb="FFB7B7B7"/>
      </top>
      <bottom style="double">
        <color rgb="FF135B44"/>
      </bottom>
      <diagonal/>
    </border>
    <border>
      <left/>
      <right/>
      <top style="medium">
        <color rgb="FF135B44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</borders>
  <cellStyleXfs count="2">
    <xf numFmtId="0" fontId="0" fillId="0" borderId="0"/>
    <xf numFmtId="0" fontId="17" fillId="0" borderId="0"/>
  </cellStyleXfs>
  <cellXfs count="152">
    <xf numFmtId="0" fontId="0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4" borderId="1" pivotButton="0" quotePrefix="0" xfId="0"/>
    <xf numFmtId="0" fontId="0" fillId="4" borderId="1" pivotButton="0" quotePrefix="0" xfId="0"/>
    <xf numFmtId="0" fontId="9" fillId="0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right" vertical="center"/>
    </xf>
    <xf numFmtId="164" fontId="10" fillId="5" borderId="0" applyAlignment="1" pivotButton="0" quotePrefix="0" xfId="0">
      <alignment horizontal="right" vertical="center"/>
    </xf>
    <xf numFmtId="165" fontId="10" fillId="5" borderId="0" applyAlignment="1" pivotButton="0" quotePrefix="0" xfId="0">
      <alignment horizontal="right" vertical="center"/>
    </xf>
    <xf numFmtId="166" fontId="10" fillId="5" borderId="0" applyAlignment="1" pivotButton="0" quotePrefix="0" xfId="0">
      <alignment horizontal="right" vertical="center"/>
    </xf>
    <xf numFmtId="0" fontId="10" fillId="6" borderId="0" applyAlignment="1" pivotButton="0" quotePrefix="0" xfId="0">
      <alignment horizontal="right" vertical="center" wrapText="1"/>
    </xf>
    <xf numFmtId="0" fontId="11" fillId="0" borderId="0" pivotButton="0" quotePrefix="0" xfId="0"/>
    <xf numFmtId="0" fontId="10" fillId="5" borderId="0" applyAlignment="1" pivotButton="0" quotePrefix="0" xfId="0">
      <alignment horizontal="right" vertical="center" wrapText="1"/>
    </xf>
    <xf numFmtId="0" fontId="12" fillId="2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165" fontId="10" fillId="0" borderId="3" applyAlignment="1" pivotButton="0" quotePrefix="0" xfId="0">
      <alignment horizontal="right" vertical="center"/>
    </xf>
    <xf numFmtId="0" fontId="9" fillId="0" borderId="4" applyAlignment="1" pivotButton="0" quotePrefix="0" xfId="0">
      <alignment horizontal="left" vertical="center"/>
    </xf>
    <xf numFmtId="165" fontId="10" fillId="0" borderId="4" applyAlignment="1" pivotButton="0" quotePrefix="0" xfId="0">
      <alignment horizontal="right" vertical="center"/>
    </xf>
    <xf numFmtId="166" fontId="10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164" fontId="15" fillId="7" borderId="0" applyAlignment="1" pivotButton="0" quotePrefix="0" xfId="0">
      <alignment horizontal="right" vertical="center"/>
    </xf>
    <xf numFmtId="165" fontId="15" fillId="7" borderId="0" applyAlignment="1" pivotButton="0" quotePrefix="0" xfId="0">
      <alignment horizontal="right" vertical="center"/>
    </xf>
    <xf numFmtId="0" fontId="15" fillId="7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right" vertical="center"/>
    </xf>
    <xf numFmtId="166" fontId="15" fillId="7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wrapText="1"/>
    </xf>
    <xf numFmtId="164" fontId="13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 wrapText="1"/>
    </xf>
    <xf numFmtId="166" fontId="13" fillId="0" borderId="0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 wrapText="1"/>
    </xf>
    <xf numFmtId="165" fontId="10" fillId="0" borderId="0" applyAlignment="1" pivotButton="0" quotePrefix="0" xfId="0">
      <alignment horizontal="right" vertical="center" wrapText="1"/>
    </xf>
    <xf numFmtId="165" fontId="9" fillId="0" borderId="0" applyAlignment="1" pivotButton="0" quotePrefix="0" xfId="0">
      <alignment horizontal="right" vertical="center" wrapText="1"/>
    </xf>
    <xf numFmtId="166" fontId="14" fillId="0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horizontal="right" vertical="center" wrapText="1"/>
    </xf>
    <xf numFmtId="165" fontId="9" fillId="0" borderId="3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5" fontId="14" fillId="8" borderId="0" applyAlignment="1" pivotButton="0" quotePrefix="0" xfId="0">
      <alignment horizontal="right" vertical="center"/>
    </xf>
    <xf numFmtId="0" fontId="9" fillId="0" borderId="5" applyAlignment="1" pivotButton="0" quotePrefix="0" xfId="0">
      <alignment horizontal="left" vertical="center"/>
    </xf>
    <xf numFmtId="165" fontId="9" fillId="0" borderId="5" applyAlignment="1" pivotButton="0" quotePrefix="0" xfId="0">
      <alignment horizontal="right" vertical="center"/>
    </xf>
    <xf numFmtId="165" fontId="13" fillId="8" borderId="5" applyAlignment="1" pivotButton="0" quotePrefix="0" xfId="0">
      <alignment horizontal="right" vertical="center" wrapText="1"/>
    </xf>
    <xf numFmtId="0" fontId="4" fillId="0" borderId="5" applyAlignment="1" pivotButton="0" quotePrefix="0" xfId="0">
      <alignment horizontal="left" vertical="center" wrapText="1"/>
    </xf>
    <xf numFmtId="165" fontId="9" fillId="8" borderId="5" applyAlignment="1" pivotButton="0" quotePrefix="0" xfId="0">
      <alignment horizontal="right" vertical="center"/>
    </xf>
    <xf numFmtId="0" fontId="0" fillId="8" borderId="0" pivotButton="0" quotePrefix="0" xfId="0"/>
    <xf numFmtId="165" fontId="14" fillId="8" borderId="0" applyAlignment="1" pivotButton="0" quotePrefix="0" xfId="0">
      <alignment horizontal="right" vertical="center" wrapText="1"/>
    </xf>
    <xf numFmtId="165" fontId="13" fillId="8" borderId="3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165" fontId="9" fillId="0" borderId="4" applyAlignment="1" pivotButton="0" quotePrefix="0" xfId="0">
      <alignment horizontal="right" vertical="center"/>
    </xf>
    <xf numFmtId="165" fontId="13" fillId="8" borderId="4" applyAlignment="1" pivotButton="0" quotePrefix="0" xfId="0">
      <alignment horizontal="right" vertical="center" wrapText="1"/>
    </xf>
    <xf numFmtId="0" fontId="4" fillId="0" borderId="4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/>
    </xf>
    <xf numFmtId="166" fontId="16" fillId="0" borderId="5" applyAlignment="1" pivotButton="0" quotePrefix="0" xfId="0">
      <alignment horizontal="right" vertical="center"/>
    </xf>
    <xf numFmtId="166" fontId="16" fillId="8" borderId="5" applyAlignment="1" pivotButton="0" quotePrefix="0" xfId="0">
      <alignment horizontal="right" vertical="center"/>
    </xf>
    <xf numFmtId="0" fontId="9" fillId="0" borderId="6" applyAlignment="1" pivotButton="0" quotePrefix="0" xfId="0">
      <alignment horizontal="left" vertical="center"/>
    </xf>
    <xf numFmtId="165" fontId="9" fillId="0" borderId="6" applyAlignment="1" pivotButton="0" quotePrefix="0" xfId="0">
      <alignment horizontal="right" vertical="center"/>
    </xf>
    <xf numFmtId="165" fontId="9" fillId="8" borderId="6" applyAlignment="1" pivotButton="0" quotePrefix="0" xfId="0">
      <alignment horizontal="right" vertical="center" wrapText="1"/>
    </xf>
    <xf numFmtId="0" fontId="4" fillId="0" borderId="6" applyAlignment="1" pivotButton="0" quotePrefix="0" xfId="0">
      <alignment horizontal="left" vertical="center" wrapText="1"/>
    </xf>
    <xf numFmtId="165" fontId="10" fillId="8" borderId="0" applyAlignment="1" pivotButton="0" quotePrefix="0" xfId="0">
      <alignment horizontal="right" vertical="center"/>
    </xf>
    <xf numFmtId="165" fontId="9" fillId="8" borderId="3" applyAlignment="1" pivotButton="0" quotePrefix="0" xfId="0">
      <alignment horizontal="right" vertical="center"/>
    </xf>
    <xf numFmtId="165" fontId="10" fillId="8" borderId="3" applyAlignment="1" pivotButton="0" quotePrefix="0" xfId="0">
      <alignment horizontal="right" vertical="center"/>
    </xf>
    <xf numFmtId="165" fontId="10" fillId="0" borderId="5" applyAlignment="1" pivotButton="0" quotePrefix="0" xfId="0">
      <alignment horizontal="right" vertical="center"/>
    </xf>
    <xf numFmtId="165" fontId="10" fillId="8" borderId="5" applyAlignment="1" pivotButton="0" quotePrefix="0" xfId="0">
      <alignment horizontal="right" vertical="center"/>
    </xf>
    <xf numFmtId="167" fontId="12" fillId="2" borderId="2" applyAlignment="1" pivotButton="0" quotePrefix="0" xfId="0">
      <alignment horizontal="right" vertical="center" wrapText="1"/>
    </xf>
    <xf numFmtId="165" fontId="13" fillId="8" borderId="0" applyAlignment="1" pivotButton="0" quotePrefix="0" xfId="0">
      <alignment horizontal="right" vertical="center"/>
    </xf>
    <xf numFmtId="165" fontId="9" fillId="8" borderId="4" applyAlignment="1" pivotButton="0" quotePrefix="0" xfId="0">
      <alignment horizontal="right" vertical="center"/>
    </xf>
    <xf numFmtId="165" fontId="9" fillId="8" borderId="6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66" fontId="10" fillId="0" borderId="0" applyAlignment="1" pivotButton="0" quotePrefix="0" xfId="0">
      <alignment horizontal="right" vertical="center"/>
    </xf>
    <xf numFmtId="166" fontId="10" fillId="8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165" fontId="15" fillId="7" borderId="0" applyAlignment="1" pivotButton="0" quotePrefix="0" xfId="0">
      <alignment horizontal="right" vertical="center" wrapText="1"/>
    </xf>
    <xf numFmtId="0" fontId="13" fillId="5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right" vertical="center" wrapText="1"/>
    </xf>
    <xf numFmtId="165" fontId="10" fillId="5" borderId="0" applyAlignment="1" pivotButton="0" quotePrefix="0" xfId="0">
      <alignment horizontal="right" vertical="center" wrapText="1"/>
    </xf>
    <xf numFmtId="0" fontId="15" fillId="7" borderId="0" applyAlignment="1" pivotButton="0" quotePrefix="0" xfId="0">
      <alignment horizontal="left" vertical="center" wrapText="1"/>
    </xf>
    <xf numFmtId="164" fontId="15" fillId="7" borderId="0" applyAlignment="1" pivotButton="0" quotePrefix="0" xfId="0">
      <alignment horizontal="right" vertical="center" wrapText="1"/>
    </xf>
    <xf numFmtId="0" fontId="13" fillId="0" borderId="0" applyAlignment="1" pivotButton="0" quotePrefix="0" xfId="0">
      <alignment horizontal="right" vertical="center" wrapText="1"/>
    </xf>
    <xf numFmtId="0" fontId="9" fillId="5" borderId="0" applyAlignment="1" pivotButton="0" quotePrefix="0" xfId="0">
      <alignment horizontal="right" vertical="center" wrapText="1"/>
    </xf>
    <xf numFmtId="0" fontId="14" fillId="5" borderId="0" applyAlignment="1" pivotButton="0" quotePrefix="0" xfId="0">
      <alignment horizontal="right" vertical="center" wrapText="1"/>
    </xf>
    <xf numFmtId="14" fontId="15" fillId="7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7" fillId="0" borderId="0" pivotButton="0" quotePrefix="0" xfId="0"/>
    <xf numFmtId="165" fontId="15" fillId="7" borderId="7" applyAlignment="1" pivotButton="0" quotePrefix="0" xfId="0">
      <alignment horizontal="right" vertical="center" wrapText="1"/>
    </xf>
    <xf numFmtId="166" fontId="15" fillId="7" borderId="7" applyAlignment="1" pivotButton="0" quotePrefix="0" xfId="0">
      <alignment horizontal="right" vertical="center" wrapText="1"/>
    </xf>
    <xf numFmtId="166" fontId="14" fillId="0" borderId="7" applyAlignment="1" pivotButton="0" quotePrefix="0" xfId="0">
      <alignment horizontal="right" vertical="center" wrapText="1"/>
    </xf>
    <xf numFmtId="166" fontId="13" fillId="0" borderId="7" applyAlignment="1" pivotButton="0" quotePrefix="0" xfId="0">
      <alignment horizontal="right" vertical="center" wrapText="1"/>
    </xf>
    <xf numFmtId="0" fontId="5" fillId="0" borderId="7" applyAlignment="1" pivotButton="0" quotePrefix="0" xfId="0">
      <alignment horizontal="left" vertical="center" wrapText="1"/>
    </xf>
    <xf numFmtId="0" fontId="13" fillId="5" borderId="7" applyAlignment="1" pivotButton="0" quotePrefix="0" xfId="0">
      <alignment horizontal="right" vertical="center" wrapText="1"/>
    </xf>
    <xf numFmtId="165" fontId="15" fillId="7" borderId="8" applyAlignment="1" pivotButton="0" quotePrefix="0" xfId="0">
      <alignment horizontal="right" vertical="center" wrapText="1"/>
    </xf>
    <xf numFmtId="166" fontId="15" fillId="7" borderId="8" applyAlignment="1" pivotButton="0" quotePrefix="0" xfId="0">
      <alignment horizontal="left" vertical="center" wrapText="1"/>
    </xf>
    <xf numFmtId="166" fontId="15" fillId="7" borderId="8" applyAlignment="1" pivotButton="0" quotePrefix="0" xfId="0">
      <alignment horizontal="right" vertical="center" wrapText="1"/>
    </xf>
    <xf numFmtId="166" fontId="14" fillId="0" borderId="8" applyAlignment="1" pivotButton="0" quotePrefix="0" xfId="0">
      <alignment horizontal="right" vertical="center" wrapText="1"/>
    </xf>
    <xf numFmtId="166" fontId="13" fillId="0" borderId="8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center" wrapText="1"/>
    </xf>
    <xf numFmtId="0" fontId="13" fillId="5" borderId="8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7" fillId="0" borderId="0" pivotButton="0" quotePrefix="0" xfId="1"/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right" vertical="center" wrapText="1"/>
    </xf>
    <xf numFmtId="0" fontId="17" fillId="0" borderId="0" pivotButton="0" quotePrefix="0" xfId="0"/>
    <xf numFmtId="0" fontId="18" fillId="0" borderId="0" applyAlignment="1" pivotButton="0" quotePrefix="0" xfId="0">
      <alignment horizontal="left" vertical="center"/>
    </xf>
    <xf numFmtId="10" fontId="1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top"/>
    </xf>
    <xf numFmtId="0" fontId="19" fillId="9" borderId="0" pivotButton="0" quotePrefix="0" xfId="0"/>
    <xf numFmtId="0" fontId="0" fillId="9" borderId="0" pivotButton="0" quotePrefix="0" xfId="0"/>
    <xf numFmtId="0" fontId="21" fillId="0" borderId="0" pivotButton="0" quotePrefix="0" xfId="0"/>
    <xf numFmtId="0" fontId="18" fillId="0" borderId="0" pivotButton="0" quotePrefix="0" xfId="0"/>
    <xf numFmtId="166" fontId="22" fillId="10" borderId="0" pivotButton="0" quotePrefix="0" xfId="0"/>
    <xf numFmtId="166" fontId="21" fillId="0" borderId="0" pivotButton="0" quotePrefix="0" xfId="0"/>
    <xf numFmtId="166" fontId="18" fillId="0" borderId="0" pivotButton="0" quotePrefix="0" xfId="0"/>
    <xf numFmtId="0" fontId="23" fillId="11" borderId="0" applyAlignment="1" pivotButton="0" quotePrefix="0" xfId="0">
      <alignment horizontal="center" vertical="center" wrapText="1"/>
    </xf>
    <xf numFmtId="164" fontId="18" fillId="0" borderId="0" pivotButton="0" quotePrefix="0" xfId="0"/>
    <xf numFmtId="164" fontId="21" fillId="0" borderId="0" pivotButton="0" quotePrefix="0" xfId="0"/>
    <xf numFmtId="0" fontId="22" fillId="10" borderId="0" pivotButton="0" quotePrefix="0" xfId="0"/>
    <xf numFmtId="164" fontId="22" fillId="10" borderId="0" pivotButton="0" quotePrefix="0" xfId="0"/>
    <xf numFmtId="10" fontId="22" fillId="10" borderId="0" pivotButton="0" quotePrefix="0" xfId="0"/>
    <xf numFmtId="10" fontId="18" fillId="0" borderId="0" pivotButton="0" quotePrefix="0" xfId="0"/>
    <xf numFmtId="0" fontId="26" fillId="4" borderId="1" pivotButton="0" quotePrefix="0" xfId="0"/>
    <xf numFmtId="165" fontId="24" fillId="0" borderId="0" applyAlignment="1" pivotButton="0" quotePrefix="0" xfId="0">
      <alignment horizontal="right" vertical="center"/>
    </xf>
    <xf numFmtId="165" fontId="24" fillId="8" borderId="0" applyAlignment="1" pivotButton="0" quotePrefix="0" xfId="0">
      <alignment horizontal="right" vertical="center"/>
    </xf>
    <xf numFmtId="165" fontId="24" fillId="0" borderId="0" applyAlignment="1" pivotButton="0" quotePrefix="0" xfId="0">
      <alignment horizontal="right" vertical="center" wrapText="1"/>
    </xf>
    <xf numFmtId="165" fontId="24" fillId="8" borderId="0" applyAlignment="1" pivotButton="0" quotePrefix="0" xfId="0">
      <alignment horizontal="right" vertical="center" wrapText="1"/>
    </xf>
    <xf numFmtId="165" fontId="18" fillId="0" borderId="0" pivotButton="0" quotePrefix="0" xfId="0"/>
    <xf numFmtId="165" fontId="24" fillId="0" borderId="0" pivotButton="0" quotePrefix="0" xfId="0"/>
    <xf numFmtId="165" fontId="21" fillId="0" borderId="0" pivotButton="0" quotePrefix="0" xfId="0"/>
    <xf numFmtId="0" fontId="25" fillId="11" borderId="0" pivotButton="0" quotePrefix="0" xfId="0"/>
    <xf numFmtId="0" fontId="0" fillId="11" borderId="0" pivotButton="0" quotePrefix="0" xfId="0"/>
    <xf numFmtId="0" fontId="24" fillId="0" borderId="0" pivotButton="0" quotePrefix="0" xfId="0"/>
    <xf numFmtId="10" fontId="15" fillId="7" borderId="7" applyAlignment="1" pivotButton="0" quotePrefix="0" xfId="0">
      <alignment horizontal="right" vertical="center" wrapText="1"/>
    </xf>
    <xf numFmtId="10" fontId="13" fillId="0" borderId="7" applyAlignment="1" pivotButton="0" quotePrefix="0" xfId="0">
      <alignment horizontal="right" vertical="center" wrapText="1"/>
    </xf>
    <xf numFmtId="10" fontId="24" fillId="0" borderId="0" pivotButton="0" quotePrefix="0" xfId="0"/>
    <xf numFmtId="10" fontId="24" fillId="0" borderId="7" applyAlignment="1" pivotButton="0" quotePrefix="0" xfId="0">
      <alignment horizontal="right" vertical="center" wrapText="1"/>
    </xf>
    <xf numFmtId="10" fontId="13" fillId="0" borderId="8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right" vertical="center" wrapText="1"/>
    </xf>
  </cellXfs>
  <cellStyles count="2">
    <cellStyle name="Normal" xfId="0" builtinId="0"/>
    <cellStyle name="Hiperlink" xfId="1" builtinId="8"/>
  </cellStyles>
  <dxfs count="4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E9E0"/>
      <rgbColor rgb="FFE2F0D9"/>
      <rgbColor rgb="FFF3F8F5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35B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Unknown Author</author>
  </authors>
  <commentList>
    <comment ref="G14" authorId="0" shapeId="0">
      <text>
        <t>O painel considera um desvio de até R$ 0,01 como zero para evitar falsos alertas causados por arredondamento de ponto flutuante. Os checks detalhados permanecem disponíveis nas abas de fluxo e DRE.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B6" authorId="0" shapeId="0">
      <text>
        <t>Fonte: pasted_content.txt, seletor de cenário ativo; valores permitidos: Otimista, Base e Pessimista.</t>
      </text>
    </comment>
    <comment ref="B10" authorId="0" shapeId="0">
      <text>
        <t>Fonte: pasted_content.txt, VGV de Lançamento Total.</t>
      </text>
    </comment>
    <comment ref="B11" authorId="0" shapeId="0">
      <text>
        <t>Fonte: pasted_content.txt, permuta física de terreno sem torna.</t>
      </text>
    </comment>
    <comment ref="B12" authorId="0" shapeId="0">
      <text>
        <t>Fonte: pasted_content.txt, unidades residenciais novas.</t>
      </text>
    </comment>
    <comment ref="B13" authorId="0" shapeId="0">
      <text>
        <t>Fonte: pasted_content.txt, cenário residencial novo.</t>
      </text>
    </comment>
    <comment ref="B14" authorId="0" shapeId="0">
      <text>
        <t>Fonte: pasted_content.txt, obra do Mês 2.</t>
      </text>
    </comment>
    <comment ref="B15" authorId="0" shapeId="0">
      <text>
        <t>Fonte: pasted_content.txt, obra até o Mês 59.</t>
      </text>
    </comment>
    <comment ref="B18" authorId="0" shapeId="0">
      <text>
        <t>Fonte: pasted_content.txt, cronograma financeiro de 60 meses.</t>
      </text>
    </comment>
    <comment ref="B19" authorId="0" shapeId="0">
      <text>
        <t>Fonte: pasted_content.txt, entrada de 12% no Mês 1.</t>
      </text>
    </comment>
    <comment ref="B20" authorId="0" shapeId="0">
      <text>
        <t>Fonte: pasted_content.txt, parcelas mensais de 43% entre os Meses 2 e 59.</t>
      </text>
    </comment>
    <comment ref="B21" authorId="0" shapeId="0">
      <text>
        <t>Fonte: pasted_content.txt, chaves de 45% no Mês 60.</t>
      </text>
    </comment>
    <comment ref="B24" authorId="0" shapeId="0">
      <text>
        <t>Fonte: pasted_content.txt, despesas de Projetos.</t>
      </text>
    </comment>
    <comment ref="B25" authorId="0" shapeId="0">
      <text>
        <t>Fonte: pasted_content.txt, despesas de Marketing/Comercial.</t>
      </text>
    </comment>
    <comment ref="B26" authorId="0" shapeId="0">
      <text>
        <t>Fonte: pasted_content.txt, despesas de Corretagem.</t>
      </text>
    </comment>
    <comment ref="B27" authorId="0" shapeId="0">
      <text>
        <t>Fonte: pasted_content.txt, despesas de Administração Central.</t>
      </text>
    </comment>
    <comment ref="B28" authorId="0" shapeId="0">
      <text>
        <t>Fonte: pasted_content.txt, despesas de Jurídico/Cartórios.</t>
      </text>
    </comment>
    <comment ref="B33" authorId="0" shapeId="0">
      <text>
        <t>Fonte: pasted_content.txt, Art. 13.</t>
      </text>
    </comment>
    <comment ref="B34" authorId="0" shapeId="0">
      <text>
        <t>Fonte: pasted_content.txt, Art. 261.</t>
      </text>
    </comment>
    <comment ref="B36" authorId="0" shapeId="0">
      <text>
        <t>Fonte: pasted_content.txt, Arts. 343 e 346.</t>
      </text>
    </comment>
    <comment ref="B38" authorId="0" shapeId="0">
      <text>
        <t>Fonte: pasted_content.txt, Art. 259.</t>
      </text>
    </comment>
    <comment ref="B39" authorId="0" shapeId="0">
      <text>
        <t>Fonte: pasted_content.txt, Art. 259.</t>
      </text>
    </comment>
    <comment ref="B40" authorId="0" shapeId="0">
      <text>
        <t>Fonte: pasted_content.txt, Art. 47.</t>
      </text>
    </comment>
    <comment ref="B41" authorId="0" shapeId="0">
      <text>
        <t>Fonte: pasted_content.txt, Art. 47, §§ 9º e 11.</t>
      </text>
    </comment>
    <comment ref="B42" authorId="0" shapeId="0">
      <text>
        <t>Fonte: pasted_content.txt, Art. 127; fator igual a 1 menos a redução informada.</t>
      </text>
    </comment>
    <comment ref="B44" authorId="0" shapeId="0">
      <text>
        <t>Fonte: pasted_content.txt, Art. 15 da Lei 9249.</t>
      </text>
    </comment>
    <comment ref="B45" authorId="0" shapeId="0">
      <text>
        <t>Fonte: pasted_content.txt, hipótese de IRPJ básico.</t>
      </text>
    </comment>
    <comment ref="B46" authorId="0" shapeId="0">
      <text>
        <t>Fonte: pasted_content.txt, hipótese de limite no ciclo de 5 anos.</t>
      </text>
    </comment>
    <comment ref="B47" authorId="0" shapeId="0">
      <text>
        <t>Fonte: pasted_content.txt, hipótese de IRPJ adicional.</t>
      </text>
    </comment>
    <comment ref="B48" authorId="0" shapeId="0">
      <text>
        <t>Fonte: pasted_content.txt, hipótese de base CSLL.</t>
      </text>
    </comment>
    <comment ref="B49" authorId="0" shapeId="0">
      <text>
        <t>Fonte: pasted_content.txt, hipótese de CSLL.</t>
      </text>
    </comment>
    <comment ref="B50" authorId="0" shapeId="0">
      <text>
        <t>Fonte: pasted_content.txt, alíquota de teste de 2026; adotado como ano inicial do fluxo.</t>
      </text>
    </comment>
    <comment ref="B54" authorId="0" shapeId="0">
      <text>
        <t>Fonte: pasted_content.txt, tabela lateral de parâmetros de cenários.</t>
      </text>
    </comment>
    <comment ref="C54" authorId="0" shapeId="0">
      <text>
        <t>Fonte: pasted_content.txt, tabela lateral de parâmetros de cenários.</t>
      </text>
    </comment>
    <comment ref="D54" authorId="0" shapeId="0">
      <text>
        <t>Fonte: pasted_content.txt, tabela lateral de parâmetros de cenários.</t>
      </text>
    </comment>
    <comment ref="B55" authorId="0" shapeId="0">
      <text>
        <t>Fonte: pasted_content.txt, VGV Total.</t>
      </text>
    </comment>
    <comment ref="C55" authorId="0" shapeId="0">
      <text>
        <t>Fonte: pasted_content.txt, VGV Total.</t>
      </text>
    </comment>
    <comment ref="D55" authorId="0" shapeId="0">
      <text>
        <t>Fonte: pasted_content.txt, VGV Total.</t>
      </text>
    </comment>
    <comment ref="B56" authorId="0" shapeId="0">
      <text>
        <t>Fonte: pasted_content.txt, Permuta Física.</t>
      </text>
    </comment>
    <comment ref="C56" authorId="0" shapeId="0">
      <text>
        <t>Fonte: pasted_content.txt, Permuta Física.</t>
      </text>
    </comment>
    <comment ref="D56" authorId="0" shapeId="0">
      <text>
        <t>Fonte: pasted_content.txt, Permuta Física.</t>
      </text>
    </comment>
    <comment ref="B57" authorId="0" shapeId="0">
      <text>
        <t>Fonte: pasted_content.txt, RAJ do Terreno.</t>
      </text>
    </comment>
    <comment ref="C57" authorId="0" shapeId="0">
      <text>
        <t>Fonte: pasted_content.txt, RAJ do Terreno.</t>
      </text>
    </comment>
    <comment ref="D57" authorId="0" shapeId="0">
      <text>
        <t>Fonte: pasted_content.txt, RAJ do Terreno.</t>
      </text>
    </comment>
    <comment ref="B58" authorId="0" shapeId="0">
      <text>
        <t>Fonte: pasted_content.txt, Custo de Obra.</t>
      </text>
    </comment>
    <comment ref="C58" authorId="0" shapeId="0">
      <text>
        <t>Fonte: pasted_content.txt, Custo de Obra.</t>
      </text>
    </comment>
    <comment ref="D58" authorId="0" shapeId="0">
      <text>
        <t>Fonte: pasted_content.txt, Custo de Obra.</t>
      </text>
    </comment>
    <comment ref="B59" authorId="0" shapeId="0">
      <text>
        <t>Fonte: pasted_content.txt, Simples Nacional %, Art. 47, §9º.</t>
      </text>
    </comment>
    <comment ref="C59" authorId="0" shapeId="0">
      <text>
        <t>Fonte: pasted_content.txt, Simples Nacional %, Art. 47, §9º.</t>
      </text>
    </comment>
    <comment ref="D59" authorId="0" shapeId="0">
      <text>
        <t>Fonte: pasted_content.txt, Simples Nacional %, Art. 47, §9º.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39" authorId="0" shapeId="0">
      <text>
        <t>Controle estrutural: débito total menos créditos totais, imposto líquido a pagar e saldo credor final. Esperado: zero.</t>
      </text>
    </comment>
    <comment ref="A43" authorId="0" shapeId="0">
      <text>
        <t>Fonte: pasted_content.txt, índice mensal do cronograma de 60 meses.</t>
      </text>
    </comment>
    <comment ref="A44" authorId="0" shapeId="0">
      <text>
        <t>Fonte: pasted_content.txt, índice mensal do cronograma de 60 meses.</t>
      </text>
    </comment>
    <comment ref="A45" authorId="0" shapeId="0">
      <text>
        <t>Fonte: pasted_content.txt, índice mensal do cronograma de 60 meses.</t>
      </text>
    </comment>
    <comment ref="A46" authorId="0" shapeId="0">
      <text>
        <t>Fonte: pasted_content.txt, índice mensal do cronograma de 60 meses.</t>
      </text>
    </comment>
    <comment ref="A47" authorId="0" shapeId="0">
      <text>
        <t>Fonte: pasted_content.txt, índice mensal do cronograma de 60 meses.</t>
      </text>
    </comment>
    <comment ref="A48" authorId="0" shapeId="0">
      <text>
        <t>Fonte: pasted_content.txt, índice mensal do cronograma de 60 meses.</t>
      </text>
    </comment>
    <comment ref="A49" authorId="0" shapeId="0">
      <text>
        <t>Fonte: pasted_content.txt, índice mensal do cronograma de 60 meses.</t>
      </text>
    </comment>
    <comment ref="A50" authorId="0" shapeId="0">
      <text>
        <t>Fonte: pasted_content.txt, índice mensal do cronograma de 60 meses.</t>
      </text>
    </comment>
    <comment ref="A51" authorId="0" shapeId="0">
      <text>
        <t>Fonte: pasted_content.txt, índice mensal do cronograma de 60 meses.</t>
      </text>
    </comment>
    <comment ref="A52" authorId="0" shapeId="0">
      <text>
        <t>Fonte: pasted_content.txt, índice mensal do cronograma de 60 meses.</t>
      </text>
    </comment>
    <comment ref="A53" authorId="0" shapeId="0">
      <text>
        <t>Fonte: pasted_content.txt, índice mensal do cronograma de 60 meses.</t>
      </text>
    </comment>
    <comment ref="A54" authorId="0" shapeId="0">
      <text>
        <t>Fonte: pasted_content.txt, índice mensal do cronograma de 60 meses.</t>
      </text>
    </comment>
    <comment ref="A55" authorId="0" shapeId="0">
      <text>
        <t>Fonte: pasted_content.txt, índice mensal do cronograma de 60 meses.</t>
      </text>
    </comment>
    <comment ref="A56" authorId="0" shapeId="0">
      <text>
        <t>Fonte: pasted_content.txt, índice mensal do cronograma de 60 meses.</t>
      </text>
    </comment>
    <comment ref="A57" authorId="0" shapeId="0">
      <text>
        <t>Fonte: pasted_content.txt, índice mensal do cronograma de 60 meses.</t>
      </text>
    </comment>
    <comment ref="A58" authorId="0" shapeId="0">
      <text>
        <t>Fonte: pasted_content.txt, índice mensal do cronograma de 60 meses.</t>
      </text>
    </comment>
    <comment ref="A59" authorId="0" shapeId="0">
      <text>
        <t>Fonte: pasted_content.txt, índice mensal do cronograma de 60 meses.</t>
      </text>
    </comment>
    <comment ref="A60" authorId="0" shapeId="0">
      <text>
        <t>Fonte: pasted_content.txt, índice mensal do cronograma de 60 meses.</t>
      </text>
    </comment>
    <comment ref="A61" authorId="0" shapeId="0">
      <text>
        <t>Fonte: pasted_content.txt, índice mensal do cronograma de 60 meses.</t>
      </text>
    </comment>
    <comment ref="A62" authorId="0" shapeId="0">
      <text>
        <t>Fonte: pasted_content.txt, índice mensal do cronograma de 60 meses.</t>
      </text>
    </comment>
    <comment ref="A63" authorId="0" shapeId="0">
      <text>
        <t>Fonte: pasted_content.txt, índice mensal do cronograma de 60 meses.</t>
      </text>
    </comment>
    <comment ref="A64" authorId="0" shapeId="0">
      <text>
        <t>Fonte: pasted_content.txt, índice mensal do cronograma de 60 meses.</t>
      </text>
    </comment>
    <comment ref="A65" authorId="0" shapeId="0">
      <text>
        <t>Fonte: pasted_content.txt, índice mensal do cronograma de 60 meses.</t>
      </text>
    </comment>
    <comment ref="A66" authorId="0" shapeId="0">
      <text>
        <t>Fonte: pasted_content.txt, índice mensal do cronograma de 60 meses.</t>
      </text>
    </comment>
    <comment ref="A67" authorId="0" shapeId="0">
      <text>
        <t>Fonte: pasted_content.txt, índice mensal do cronograma de 60 meses.</t>
      </text>
    </comment>
    <comment ref="A68" authorId="0" shapeId="0">
      <text>
        <t>Fonte: pasted_content.txt, índice mensal do cronograma de 60 meses.</t>
      </text>
    </comment>
    <comment ref="A69" authorId="0" shapeId="0">
      <text>
        <t>Fonte: pasted_content.txt, índice mensal do cronograma de 60 meses.</t>
      </text>
    </comment>
    <comment ref="A70" authorId="0" shapeId="0">
      <text>
        <t>Fonte: pasted_content.txt, índice mensal do cronograma de 60 meses.</t>
      </text>
    </comment>
    <comment ref="A71" authorId="0" shapeId="0">
      <text>
        <t>Fonte: pasted_content.txt, índice mensal do cronograma de 60 meses.</t>
      </text>
    </comment>
    <comment ref="A72" authorId="0" shapeId="0">
      <text>
        <t>Fonte: pasted_content.txt, índice mensal do cronograma de 60 meses.</t>
      </text>
    </comment>
    <comment ref="A73" authorId="0" shapeId="0">
      <text>
        <t>Fonte: pasted_content.txt, índice mensal do cronograma de 60 meses.</t>
      </text>
    </comment>
    <comment ref="A74" authorId="0" shapeId="0">
      <text>
        <t>Fonte: pasted_content.txt, índice mensal do cronograma de 60 meses.</t>
      </text>
    </comment>
    <comment ref="A75" authorId="0" shapeId="0">
      <text>
        <t>Fonte: pasted_content.txt, índice mensal do cronograma de 60 meses.</t>
      </text>
    </comment>
    <comment ref="A76" authorId="0" shapeId="0">
      <text>
        <t>Fonte: pasted_content.txt, índice mensal do cronograma de 60 meses.</t>
      </text>
    </comment>
    <comment ref="A77" authorId="0" shapeId="0">
      <text>
        <t>Fonte: pasted_content.txt, índice mensal do cronograma de 60 meses.</t>
      </text>
    </comment>
    <comment ref="A78" authorId="0" shapeId="0">
      <text>
        <t>Fonte: pasted_content.txt, índice mensal do cronograma de 60 meses.</t>
      </text>
    </comment>
    <comment ref="A79" authorId="0" shapeId="0">
      <text>
        <t>Fonte: pasted_content.txt, índice mensal do cronograma de 60 meses.</t>
      </text>
    </comment>
    <comment ref="A80" authorId="0" shapeId="0">
      <text>
        <t>Fonte: pasted_content.txt, índice mensal do cronograma de 60 meses.</t>
      </text>
    </comment>
    <comment ref="A81" authorId="0" shapeId="0">
      <text>
        <t>Fonte: pasted_content.txt, índice mensal do cronograma de 60 meses.</t>
      </text>
    </comment>
    <comment ref="A82" authorId="0" shapeId="0">
      <text>
        <t>Fonte: pasted_content.txt, índice mensal do cronograma de 60 meses.</t>
      </text>
    </comment>
    <comment ref="A83" authorId="0" shapeId="0">
      <text>
        <t>Fonte: pasted_content.txt, índice mensal do cronograma de 60 meses.</t>
      </text>
    </comment>
    <comment ref="A84" authorId="0" shapeId="0">
      <text>
        <t>Fonte: pasted_content.txt, índice mensal do cronograma de 60 meses.</t>
      </text>
    </comment>
    <comment ref="A85" authorId="0" shapeId="0">
      <text>
        <t>Fonte: pasted_content.txt, índice mensal do cronograma de 60 meses.</t>
      </text>
    </comment>
    <comment ref="A86" authorId="0" shapeId="0">
      <text>
        <t>Fonte: pasted_content.txt, índice mensal do cronograma de 60 meses.</t>
      </text>
    </comment>
    <comment ref="A87" authorId="0" shapeId="0">
      <text>
        <t>Fonte: pasted_content.txt, índice mensal do cronograma de 60 meses.</t>
      </text>
    </comment>
    <comment ref="A88" authorId="0" shapeId="0">
      <text>
        <t>Fonte: pasted_content.txt, índice mensal do cronograma de 60 meses.</t>
      </text>
    </comment>
    <comment ref="A89" authorId="0" shapeId="0">
      <text>
        <t>Fonte: pasted_content.txt, índice mensal do cronograma de 60 meses.</t>
      </text>
    </comment>
    <comment ref="A90" authorId="0" shapeId="0">
      <text>
        <t>Fonte: pasted_content.txt, índice mensal do cronograma de 60 meses.</t>
      </text>
    </comment>
    <comment ref="A91" authorId="0" shapeId="0">
      <text>
        <t>Fonte: pasted_content.txt, índice mensal do cronograma de 60 meses.</t>
      </text>
    </comment>
    <comment ref="A92" authorId="0" shapeId="0">
      <text>
        <t>Fonte: pasted_content.txt, índice mensal do cronograma de 60 meses.</t>
      </text>
    </comment>
    <comment ref="A93" authorId="0" shapeId="0">
      <text>
        <t>Fonte: pasted_content.txt, índice mensal do cronograma de 60 meses.</t>
      </text>
    </comment>
    <comment ref="A94" authorId="0" shapeId="0">
      <text>
        <t>Fonte: pasted_content.txt, índice mensal do cronograma de 60 meses.</t>
      </text>
    </comment>
    <comment ref="A95" authorId="0" shapeId="0">
      <text>
        <t>Fonte: pasted_content.txt, índice mensal do cronograma de 60 meses.</t>
      </text>
    </comment>
    <comment ref="A96" authorId="0" shapeId="0">
      <text>
        <t>Fonte: pasted_content.txt, índice mensal do cronograma de 60 meses.</t>
      </text>
    </comment>
    <comment ref="A97" authorId="0" shapeId="0">
      <text>
        <t>Fonte: pasted_content.txt, índice mensal do cronograma de 60 meses.</t>
      </text>
    </comment>
    <comment ref="A98" authorId="0" shapeId="0">
      <text>
        <t>Fonte: pasted_content.txt, índice mensal do cronograma de 60 meses.</t>
      </text>
    </comment>
    <comment ref="A99" authorId="0" shapeId="0">
      <text>
        <t>Fonte: pasted_content.txt, índice mensal do cronograma de 60 meses.</t>
      </text>
    </comment>
    <comment ref="A100" authorId="0" shapeId="0">
      <text>
        <t>Fonte: pasted_content.txt, índice mensal do cronograma de 60 meses.</t>
      </text>
    </comment>
    <comment ref="A101" authorId="0" shapeId="0">
      <text>
        <t>Fonte: pasted_content.txt, índice mensal do cronograma de 60 meses.</t>
      </text>
    </comment>
    <comment ref="A102" authorId="0" shapeId="0">
      <text>
        <t>Fonte: pasted_content.txt, índice mensal do cronograma de 60 meses.</t>
      </text>
    </comment>
    <comment ref="C112" authorId="0" shapeId="0">
      <text>
        <t>Controle estrutural: imposto pago no ciclo deve conciliar com imposto líquido a pagar após créditos de obra e despesas.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E33" authorId="0" shapeId="0">
      <text>
        <t>Controle estrutural: DRE ativa fecha entre receita líquida, custos, despesas, tributos sobre renda e lucro líquido.</t>
      </text>
    </comment>
    <comment ref="E43" authorId="0" shapeId="0">
      <text>
        <t>Controle estrutural: débito menos créditos, imposto a pagar e saldo credor. Esperado: zero.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A13" authorId="0" shapeId="0">
      <text>
        <t>Fonte: Receita Federal e LC 214/2025; ano do período de transição.</t>
      </text>
    </comment>
    <comment ref="B13" authorId="0" shapeId="0">
      <text>
        <t>Fonte oficial: Receita Federal para 2026; demais anos exigem confirmação da alíquota de referência vigente.</t>
      </text>
    </comment>
    <comment ref="C13" authorId="0" shapeId="0">
      <text>
        <t>Fonte oficial: Receita Federal para 2026–2028; demais anos exigem confirmação da alíquota de referência vigente.</t>
      </text>
    </comment>
    <comment ref="D13" authorId="0" shapeId="0">
      <text>
        <t>Fonte oficial: orientação de transição da Receita Federal; peso informativo para combinação com ICMS/ISS.</t>
      </text>
    </comment>
    <comment ref="A14" authorId="0" shapeId="0">
      <text>
        <t>Fonte: Receita Federal e LC 214/2025; ano do período de transição.</t>
      </text>
    </comment>
    <comment ref="B14" authorId="0" shapeId="0">
      <text>
        <t>Fonte oficial: Receita Federal para 2026; demais anos exigem confirmação da alíquota de referência vigente.</t>
      </text>
    </comment>
    <comment ref="C14" authorId="0" shapeId="0">
      <text>
        <t>Fonte oficial: Receita Federal para 2026–2028; demais anos exigem confirmação da alíquota de referência vigente.</t>
      </text>
    </comment>
    <comment ref="D14" authorId="0" shapeId="0">
      <text>
        <t>Fonte oficial: orientação de transição da Receita Federal; peso informativo para combinação com ICMS/ISS.</t>
      </text>
    </comment>
    <comment ref="A15" authorId="0" shapeId="0">
      <text>
        <t>Fonte: Receita Federal e LC 214/2025; ano do período de transição.</t>
      </text>
    </comment>
    <comment ref="B15" authorId="0" shapeId="0">
      <text>
        <t>Fonte oficial: Receita Federal para 2026; demais anos exigem confirmação da alíquota de referência vigente.</t>
      </text>
    </comment>
    <comment ref="C15" authorId="0" shapeId="0">
      <text>
        <t>Fonte oficial: Receita Federal para 2026–2028; demais anos exigem confirmação da alíquota de referência vigente.</t>
      </text>
    </comment>
    <comment ref="D15" authorId="0" shapeId="0">
      <text>
        <t>Fonte oficial: orientação de transição da Receita Federal; peso informativo para combinação com ICMS/ISS.</t>
      </text>
    </comment>
    <comment ref="A16" authorId="0" shapeId="0">
      <text>
        <t>Fonte: Receita Federal e LC 214/2025; ano do período de transição.</t>
      </text>
    </comment>
    <comment ref="B16" authorId="0" shapeId="0">
      <text>
        <t>Fonte oficial: Receita Federal para 2026; demais anos exigem confirmação da alíquota de referência vigente.</t>
      </text>
    </comment>
    <comment ref="C16" authorId="0" shapeId="0">
      <text>
        <t>Fonte oficial: Receita Federal para 2026–2028; demais anos exigem confirmação da alíquota de referência vigente.</t>
      </text>
    </comment>
    <comment ref="D16" authorId="0" shapeId="0">
      <text>
        <t>Fonte oficial: orientação de transição da Receita Federal; peso informativo para combinação com ICMS/ISS.</t>
      </text>
    </comment>
    <comment ref="A17" authorId="0" shapeId="0">
      <text>
        <t>Fonte: Receita Federal e LC 214/2025; ano do período de transição.</t>
      </text>
    </comment>
    <comment ref="B17" authorId="0" shapeId="0">
      <text>
        <t>Fonte oficial: Receita Federal para 2026; demais anos exigem confirmação da alíquota de referência vigente.</t>
      </text>
    </comment>
    <comment ref="C17" authorId="0" shapeId="0">
      <text>
        <t>Fonte oficial: Receita Federal para 2026–2028; demais anos exigem confirmação da alíquota de referência vigente.</t>
      </text>
    </comment>
    <comment ref="D17" authorId="0" shapeId="0">
      <text>
        <t>Fonte oficial: orientação de transição da Receita Federal; peso informativo para combinação com ICMS/ISS.</t>
      </text>
    </comment>
    <comment ref="A18" authorId="0" shapeId="0">
      <text>
        <t>Fonte: Receita Federal e LC 214/2025; ano do período de transição.</t>
      </text>
    </comment>
    <comment ref="B18" authorId="0" shapeId="0">
      <text>
        <t>Fonte oficial: Receita Federal para 2026; demais anos exigem confirmação da alíquota de referência vigente.</t>
      </text>
    </comment>
    <comment ref="C18" authorId="0" shapeId="0">
      <text>
        <t>Fonte oficial: Receita Federal para 2026–2028; demais anos exigem confirmação da alíquota de referência vigente.</t>
      </text>
    </comment>
    <comment ref="D18" authorId="0" shapeId="0">
      <text>
        <t>Fonte oficial: orientação de transição da Receita Federal; peso informativo para combinação com ICMS/ISS.</t>
      </text>
    </comment>
    <comment ref="A19" authorId="0" shapeId="0">
      <text>
        <t>Fonte: Receita Federal e LC 214/2025; ano do período de transição.</t>
      </text>
    </comment>
    <comment ref="B19" authorId="0" shapeId="0">
      <text>
        <t>Fonte oficial: Receita Federal para 2026; demais anos exigem confirmação da alíquota de referência vigente.</t>
      </text>
    </comment>
    <comment ref="C19" authorId="0" shapeId="0">
      <text>
        <t>Fonte oficial: Receita Federal para 2026–2028; demais anos exigem confirmação da alíquota de referência vigente.</t>
      </text>
    </comment>
    <comment ref="D19" authorId="0" shapeId="0">
      <text>
        <t>Fonte oficial: orientação de transição da Receita Federal; peso informativo para combinação com ICMS/ISS.</t>
      </text>
    </comment>
    <comment ref="A20" authorId="0" shapeId="0">
      <text>
        <t>Fonte: Receita Federal e LC 214/2025; ano do período de transição.</t>
      </text>
    </comment>
    <comment ref="B20" authorId="0" shapeId="0">
      <text>
        <t>Fonte oficial: Receita Federal para 2026; demais anos exigem confirmação da alíquota de referência vigente.</t>
      </text>
    </comment>
    <comment ref="C20" authorId="0" shapeId="0">
      <text>
        <t>Fonte oficial: Receita Federal para 2026–2028; demais anos exigem confirmação da alíquota de referência vigente.</t>
      </text>
    </comment>
    <comment ref="D20" authorId="0" shapeId="0">
      <text>
        <t>Fonte oficial: orientação de transição da Receita Federal; peso informativo para combinação com ICMS/ISS.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A13" authorId="0" shapeId="0">
      <text>
        <t>Fonte: premissa inicial fornecida pelo usuário; substituir pelo cadastro real e manter o identificador documental.</t>
      </text>
    </comment>
    <comment ref="B13" authorId="0" shapeId="0">
      <text>
        <t>Fonte: premissa inicial fornecida pelo usuário; confirmar tipologia e elegibilidade do redutor social.</t>
      </text>
    </comment>
    <comment ref="C1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3" authorId="0" shapeId="0">
      <text>
        <t>Fonte: premissa inicial: 12 unidades de permuta estimadas. Substituir pela identificação contratual e registral da unidade.</t>
      </text>
    </comment>
    <comment ref="H13" authorId="0" shapeId="0">
      <text>
        <t>Fonte: controle de governança. Inserir contrato, matrícula, unidade, documento fiscal ou outro suporte documental.</t>
      </text>
    </comment>
    <comment ref="A14" authorId="0" shapeId="0">
      <text>
        <t>Fonte: premissa inicial fornecida pelo usuário; substituir pelo cadastro real e manter o identificador documental.</t>
      </text>
    </comment>
    <comment ref="B14" authorId="0" shapeId="0">
      <text>
        <t>Fonte: premissa inicial fornecida pelo usuário; confirmar tipologia e elegibilidade do redutor social.</t>
      </text>
    </comment>
    <comment ref="C1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4" authorId="0" shapeId="0">
      <text>
        <t>Fonte: premissa inicial: 12 unidades de permuta estimadas. Substituir pela identificação contratual e registral da unidade.</t>
      </text>
    </comment>
    <comment ref="H14" authorId="0" shapeId="0">
      <text>
        <t>Fonte: controle de governança. Inserir contrato, matrícula, unidade, documento fiscal ou outro suporte documental.</t>
      </text>
    </comment>
    <comment ref="A15" authorId="0" shapeId="0">
      <text>
        <t>Fonte: premissa inicial fornecida pelo usuário; substituir pelo cadastro real e manter o identificador documental.</t>
      </text>
    </comment>
    <comment ref="B15" authorId="0" shapeId="0">
      <text>
        <t>Fonte: premissa inicial fornecida pelo usuário; confirmar tipologia e elegibilidade do redutor social.</t>
      </text>
    </comment>
    <comment ref="C1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5" authorId="0" shapeId="0">
      <text>
        <t>Fonte: premissa inicial: 12 unidades de permuta estimadas. Substituir pela identificação contratual e registral da unidade.</t>
      </text>
    </comment>
    <comment ref="H15" authorId="0" shapeId="0">
      <text>
        <t>Fonte: controle de governança. Inserir contrato, matrícula, unidade, documento fiscal ou outro suporte documental.</t>
      </text>
    </comment>
    <comment ref="A16" authorId="0" shapeId="0">
      <text>
        <t>Fonte: premissa inicial fornecida pelo usuário; substituir pelo cadastro real e manter o identificador documental.</t>
      </text>
    </comment>
    <comment ref="B16" authorId="0" shapeId="0">
      <text>
        <t>Fonte: premissa inicial fornecida pelo usuário; confirmar tipologia e elegibilidade do redutor social.</t>
      </text>
    </comment>
    <comment ref="C1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6" authorId="0" shapeId="0">
      <text>
        <t>Fonte: premissa inicial: 12 unidades de permuta estimadas. Substituir pela identificação contratual e registral da unidade.</t>
      </text>
    </comment>
    <comment ref="H16" authorId="0" shapeId="0">
      <text>
        <t>Fonte: controle de governança. Inserir contrato, matrícula, unidade, documento fiscal ou outro suporte documental.</t>
      </text>
    </comment>
    <comment ref="A17" authorId="0" shapeId="0">
      <text>
        <t>Fonte: premissa inicial fornecida pelo usuário; substituir pelo cadastro real e manter o identificador documental.</t>
      </text>
    </comment>
    <comment ref="B17" authorId="0" shapeId="0">
      <text>
        <t>Fonte: premissa inicial fornecida pelo usuário; confirmar tipologia e elegibilidade do redutor social.</t>
      </text>
    </comment>
    <comment ref="C1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7" authorId="0" shapeId="0">
      <text>
        <t>Fonte: premissa inicial: 12 unidades de permuta estimadas. Substituir pela identificação contratual e registral da unidade.</t>
      </text>
    </comment>
    <comment ref="H17" authorId="0" shapeId="0">
      <text>
        <t>Fonte: controle de governança. Inserir contrato, matrícula, unidade, documento fiscal ou outro suporte documental.</t>
      </text>
    </comment>
    <comment ref="A18" authorId="0" shapeId="0">
      <text>
        <t>Fonte: premissa inicial fornecida pelo usuário; substituir pelo cadastro real e manter o identificador documental.</t>
      </text>
    </comment>
    <comment ref="B18" authorId="0" shapeId="0">
      <text>
        <t>Fonte: premissa inicial fornecida pelo usuário; confirmar tipologia e elegibilidade do redutor social.</t>
      </text>
    </comment>
    <comment ref="C1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8" authorId="0" shapeId="0">
      <text>
        <t>Fonte: premissa inicial: 12 unidades de permuta estimadas. Substituir pela identificação contratual e registral da unidade.</t>
      </text>
    </comment>
    <comment ref="H18" authorId="0" shapeId="0">
      <text>
        <t>Fonte: controle de governança. Inserir contrato, matrícula, unidade, documento fiscal ou outro suporte documental.</t>
      </text>
    </comment>
    <comment ref="A19" authorId="0" shapeId="0">
      <text>
        <t>Fonte: premissa inicial fornecida pelo usuário; substituir pelo cadastro real e manter o identificador documental.</t>
      </text>
    </comment>
    <comment ref="B19" authorId="0" shapeId="0">
      <text>
        <t>Fonte: premissa inicial fornecida pelo usuário; confirmar tipologia e elegibilidade do redutor social.</t>
      </text>
    </comment>
    <comment ref="C1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9" authorId="0" shapeId="0">
      <text>
        <t>Fonte: premissa inicial: 12 unidades de permuta estimadas. Substituir pela identificação contratual e registral da unidade.</t>
      </text>
    </comment>
    <comment ref="H19" authorId="0" shapeId="0">
      <text>
        <t>Fonte: controle de governança. Inserir contrato, matrícula, unidade, documento fiscal ou outro suporte documental.</t>
      </text>
    </comment>
    <comment ref="A20" authorId="0" shapeId="0">
      <text>
        <t>Fonte: premissa inicial fornecida pelo usuário; substituir pelo cadastro real e manter o identificador documental.</t>
      </text>
    </comment>
    <comment ref="B20" authorId="0" shapeId="0">
      <text>
        <t>Fonte: premissa inicial fornecida pelo usuário; confirmar tipologia e elegibilidade do redutor social.</t>
      </text>
    </comment>
    <comment ref="C2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0" authorId="0" shapeId="0">
      <text>
        <t>Fonte: premissa inicial: 12 unidades de permuta estimadas. Substituir pela identificação contratual e registral da unidade.</t>
      </text>
    </comment>
    <comment ref="H20" authorId="0" shapeId="0">
      <text>
        <t>Fonte: controle de governança. Inserir contrato, matrícula, unidade, documento fiscal ou outro suporte documental.</t>
      </text>
    </comment>
    <comment ref="A21" authorId="0" shapeId="0">
      <text>
        <t>Fonte: premissa inicial fornecida pelo usuário; substituir pelo cadastro real e manter o identificador documental.</t>
      </text>
    </comment>
    <comment ref="B21" authorId="0" shapeId="0">
      <text>
        <t>Fonte: premissa inicial fornecida pelo usuário; confirmar tipologia e elegibilidade do redutor social.</t>
      </text>
    </comment>
    <comment ref="C2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1" authorId="0" shapeId="0">
      <text>
        <t>Fonte: premissa inicial: 12 unidades de permuta estimadas. Substituir pela identificação contratual e registral da unidade.</t>
      </text>
    </comment>
    <comment ref="H21" authorId="0" shapeId="0">
      <text>
        <t>Fonte: controle de governança. Inserir contrato, matrícula, unidade, documento fiscal ou outro suporte documental.</t>
      </text>
    </comment>
    <comment ref="A22" authorId="0" shapeId="0">
      <text>
        <t>Fonte: premissa inicial fornecida pelo usuário; substituir pelo cadastro real e manter o identificador documental.</t>
      </text>
    </comment>
    <comment ref="B22" authorId="0" shapeId="0">
      <text>
        <t>Fonte: premissa inicial fornecida pelo usuário; confirmar tipologia e elegibilidade do redutor social.</t>
      </text>
    </comment>
    <comment ref="C2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2" authorId="0" shapeId="0">
      <text>
        <t>Fonte: premissa inicial: 12 unidades de permuta estimadas. Substituir pela identificação contratual e registral da unidade.</t>
      </text>
    </comment>
    <comment ref="H22" authorId="0" shapeId="0">
      <text>
        <t>Fonte: controle de governança. Inserir contrato, matrícula, unidade, documento fiscal ou outro suporte documental.</t>
      </text>
    </comment>
    <comment ref="A23" authorId="0" shapeId="0">
      <text>
        <t>Fonte: premissa inicial fornecida pelo usuário; substituir pelo cadastro real e manter o identificador documental.</t>
      </text>
    </comment>
    <comment ref="B23" authorId="0" shapeId="0">
      <text>
        <t>Fonte: premissa inicial fornecida pelo usuário; confirmar tipologia e elegibilidade do redutor social.</t>
      </text>
    </comment>
    <comment ref="C2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3" authorId="0" shapeId="0">
      <text>
        <t>Fonte: premissa inicial: 12 unidades de permuta estimadas. Substituir pela identificação contratual e registral da unidade.</t>
      </text>
    </comment>
    <comment ref="H23" authorId="0" shapeId="0">
      <text>
        <t>Fonte: controle de governança. Inserir contrato, matrícula, unidade, documento fiscal ou outro suporte documental.</t>
      </text>
    </comment>
    <comment ref="A24" authorId="0" shapeId="0">
      <text>
        <t>Fonte: premissa inicial fornecida pelo usuário; substituir pelo cadastro real e manter o identificador documental.</t>
      </text>
    </comment>
    <comment ref="B24" authorId="0" shapeId="0">
      <text>
        <t>Fonte: premissa inicial fornecida pelo usuário; confirmar tipologia e elegibilidade do redutor social.</t>
      </text>
    </comment>
    <comment ref="C2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4" authorId="0" shapeId="0">
      <text>
        <t>Fonte: premissa inicial: 12 unidades de permuta estimadas. Substituir pela identificação contratual e registral da unidade.</t>
      </text>
    </comment>
    <comment ref="H24" authorId="0" shapeId="0">
      <text>
        <t>Fonte: controle de governança. Inserir contrato, matrícula, unidade, documento fiscal ou outro suporte documental.</t>
      </text>
    </comment>
    <comment ref="A25" authorId="0" shapeId="0">
      <text>
        <t>Fonte: premissa inicial fornecida pelo usuário; substituir pelo cadastro real e manter o identificador documental.</t>
      </text>
    </comment>
    <comment ref="B25" authorId="0" shapeId="0">
      <text>
        <t>Fonte: premissa inicial fornecida pelo usuário; confirmar tipologia e elegibilidade do redutor social.</t>
      </text>
    </comment>
    <comment ref="C2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5" authorId="0" shapeId="0">
      <text>
        <t>Fonte: premissa inicial: 12 unidades de permuta estimadas. Substituir pela identificação contratual e registral da unidade.</t>
      </text>
    </comment>
    <comment ref="H25" authorId="0" shapeId="0">
      <text>
        <t>Fonte: controle de governança. Inserir contrato, matrícula, unidade, documento fiscal ou outro suporte documental.</t>
      </text>
    </comment>
    <comment ref="A26" authorId="0" shapeId="0">
      <text>
        <t>Fonte: premissa inicial fornecida pelo usuário; substituir pelo cadastro real e manter o identificador documental.</t>
      </text>
    </comment>
    <comment ref="B26" authorId="0" shapeId="0">
      <text>
        <t>Fonte: premissa inicial fornecida pelo usuário; confirmar tipologia e elegibilidade do redutor social.</t>
      </text>
    </comment>
    <comment ref="C2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6" authorId="0" shapeId="0">
      <text>
        <t>Fonte: premissa inicial: 12 unidades de permuta estimadas. Substituir pela identificação contratual e registral da unidade.</t>
      </text>
    </comment>
    <comment ref="H26" authorId="0" shapeId="0">
      <text>
        <t>Fonte: controle de governança. Inserir contrato, matrícula, unidade, documento fiscal ou outro suporte documental.</t>
      </text>
    </comment>
    <comment ref="A27" authorId="0" shapeId="0">
      <text>
        <t>Fonte: premissa inicial fornecida pelo usuário; substituir pelo cadastro real e manter o identificador documental.</t>
      </text>
    </comment>
    <comment ref="B27" authorId="0" shapeId="0">
      <text>
        <t>Fonte: premissa inicial fornecida pelo usuário; confirmar tipologia e elegibilidade do redutor social.</t>
      </text>
    </comment>
    <comment ref="C2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7" authorId="0" shapeId="0">
      <text>
        <t>Fonte: premissa inicial: 12 unidades de permuta estimadas. Substituir pela identificação contratual e registral da unidade.</t>
      </text>
    </comment>
    <comment ref="H27" authorId="0" shapeId="0">
      <text>
        <t>Fonte: controle de governança. Inserir contrato, matrícula, unidade, documento fiscal ou outro suporte documental.</t>
      </text>
    </comment>
    <comment ref="A28" authorId="0" shapeId="0">
      <text>
        <t>Fonte: premissa inicial fornecida pelo usuário; substituir pelo cadastro real e manter o identificador documental.</t>
      </text>
    </comment>
    <comment ref="B28" authorId="0" shapeId="0">
      <text>
        <t>Fonte: premissa inicial fornecida pelo usuário; confirmar tipologia e elegibilidade do redutor social.</t>
      </text>
    </comment>
    <comment ref="C2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8" authorId="0" shapeId="0">
      <text>
        <t>Fonte: premissa inicial: 12 unidades de permuta estimadas. Substituir pela identificação contratual e registral da unidade.</t>
      </text>
    </comment>
    <comment ref="H28" authorId="0" shapeId="0">
      <text>
        <t>Fonte: controle de governança. Inserir contrato, matrícula, unidade, documento fiscal ou outro suporte documental.</t>
      </text>
    </comment>
    <comment ref="A29" authorId="0" shapeId="0">
      <text>
        <t>Fonte: premissa inicial fornecida pelo usuário; substituir pelo cadastro real e manter o identificador documental.</t>
      </text>
    </comment>
    <comment ref="B29" authorId="0" shapeId="0">
      <text>
        <t>Fonte: premissa inicial fornecida pelo usuário; confirmar tipologia e elegibilidade do redutor social.</t>
      </text>
    </comment>
    <comment ref="C2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29" authorId="0" shapeId="0">
      <text>
        <t>Fonte: premissa inicial: 12 unidades de permuta estimadas. Substituir pela identificação contratual e registral da unidade.</t>
      </text>
    </comment>
    <comment ref="H29" authorId="0" shapeId="0">
      <text>
        <t>Fonte: controle de governança. Inserir contrato, matrícula, unidade, documento fiscal ou outro suporte documental.</t>
      </text>
    </comment>
    <comment ref="A30" authorId="0" shapeId="0">
      <text>
        <t>Fonte: premissa inicial fornecida pelo usuário; substituir pelo cadastro real e manter o identificador documental.</t>
      </text>
    </comment>
    <comment ref="B30" authorId="0" shapeId="0">
      <text>
        <t>Fonte: premissa inicial fornecida pelo usuário; confirmar tipologia e elegibilidade do redutor social.</t>
      </text>
    </comment>
    <comment ref="C3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0" authorId="0" shapeId="0">
      <text>
        <t>Fonte: premissa inicial: 12 unidades de permuta estimadas. Substituir pela identificação contratual e registral da unidade.</t>
      </text>
    </comment>
    <comment ref="H30" authorId="0" shapeId="0">
      <text>
        <t>Fonte: controle de governança. Inserir contrato, matrícula, unidade, documento fiscal ou outro suporte documental.</t>
      </text>
    </comment>
    <comment ref="A31" authorId="0" shapeId="0">
      <text>
        <t>Fonte: premissa inicial fornecida pelo usuário; substituir pelo cadastro real e manter o identificador documental.</t>
      </text>
    </comment>
    <comment ref="B31" authorId="0" shapeId="0">
      <text>
        <t>Fonte: premissa inicial fornecida pelo usuário; confirmar tipologia e elegibilidade do redutor social.</t>
      </text>
    </comment>
    <comment ref="C3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1" authorId="0" shapeId="0">
      <text>
        <t>Fonte: premissa inicial: 12 unidades de permuta estimadas. Substituir pela identificação contratual e registral da unidade.</t>
      </text>
    </comment>
    <comment ref="H31" authorId="0" shapeId="0">
      <text>
        <t>Fonte: controle de governança. Inserir contrato, matrícula, unidade, documento fiscal ou outro suporte documental.</t>
      </text>
    </comment>
    <comment ref="A32" authorId="0" shapeId="0">
      <text>
        <t>Fonte: premissa inicial fornecida pelo usuário; substituir pelo cadastro real e manter o identificador documental.</t>
      </text>
    </comment>
    <comment ref="B32" authorId="0" shapeId="0">
      <text>
        <t>Fonte: premissa inicial fornecida pelo usuário; confirmar tipologia e elegibilidade do redutor social.</t>
      </text>
    </comment>
    <comment ref="C3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2" authorId="0" shapeId="0">
      <text>
        <t>Fonte: premissa inicial: 12 unidades de permuta estimadas. Substituir pela identificação contratual e registral da unidade.</t>
      </text>
    </comment>
    <comment ref="H32" authorId="0" shapeId="0">
      <text>
        <t>Fonte: controle de governança. Inserir contrato, matrícula, unidade, documento fiscal ou outro suporte documental.</t>
      </text>
    </comment>
    <comment ref="A33" authorId="0" shapeId="0">
      <text>
        <t>Fonte: premissa inicial fornecida pelo usuário; substituir pelo cadastro real e manter o identificador documental.</t>
      </text>
    </comment>
    <comment ref="B33" authorId="0" shapeId="0">
      <text>
        <t>Fonte: premissa inicial fornecida pelo usuário; confirmar tipologia e elegibilidade do redutor social.</t>
      </text>
    </comment>
    <comment ref="C3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3" authorId="0" shapeId="0">
      <text>
        <t>Fonte: premissa inicial: 12 unidades de permuta estimadas. Substituir pela identificação contratual e registral da unidade.</t>
      </text>
    </comment>
    <comment ref="H33" authorId="0" shapeId="0">
      <text>
        <t>Fonte: controle de governança. Inserir contrato, matrícula, unidade, documento fiscal ou outro suporte documental.</t>
      </text>
    </comment>
    <comment ref="A34" authorId="0" shapeId="0">
      <text>
        <t>Fonte: premissa inicial fornecida pelo usuário; substituir pelo cadastro real e manter o identificador documental.</t>
      </text>
    </comment>
    <comment ref="B34" authorId="0" shapeId="0">
      <text>
        <t>Fonte: premissa inicial fornecida pelo usuário; confirmar tipologia e elegibilidade do redutor social.</t>
      </text>
    </comment>
    <comment ref="C3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4" authorId="0" shapeId="0">
      <text>
        <t>Fonte: premissa inicial: 12 unidades de permuta estimadas. Substituir pela identificação contratual e registral da unidade.</t>
      </text>
    </comment>
    <comment ref="H34" authorId="0" shapeId="0">
      <text>
        <t>Fonte: controle de governança. Inserir contrato, matrícula, unidade, documento fiscal ou outro suporte documental.</t>
      </text>
    </comment>
    <comment ref="A35" authorId="0" shapeId="0">
      <text>
        <t>Fonte: premissa inicial fornecida pelo usuário; substituir pelo cadastro real e manter o identificador documental.</t>
      </text>
    </comment>
    <comment ref="B35" authorId="0" shapeId="0">
      <text>
        <t>Fonte: premissa inicial fornecida pelo usuário; confirmar tipologia e elegibilidade do redutor social.</t>
      </text>
    </comment>
    <comment ref="C3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5" authorId="0" shapeId="0">
      <text>
        <t>Fonte: premissa inicial: 12 unidades de permuta estimadas. Substituir pela identificação contratual e registral da unidade.</t>
      </text>
    </comment>
    <comment ref="H35" authorId="0" shapeId="0">
      <text>
        <t>Fonte: controle de governança. Inserir contrato, matrícula, unidade, documento fiscal ou outro suporte documental.</t>
      </text>
    </comment>
    <comment ref="A36" authorId="0" shapeId="0">
      <text>
        <t>Fonte: premissa inicial fornecida pelo usuário; substituir pelo cadastro real e manter o identificador documental.</t>
      </text>
    </comment>
    <comment ref="B36" authorId="0" shapeId="0">
      <text>
        <t>Fonte: premissa inicial fornecida pelo usuário; confirmar tipologia e elegibilidade do redutor social.</t>
      </text>
    </comment>
    <comment ref="C3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6" authorId="0" shapeId="0">
      <text>
        <t>Fonte: premissa inicial: 12 unidades de permuta estimadas. Substituir pela identificação contratual e registral da unidade.</t>
      </text>
    </comment>
    <comment ref="H36" authorId="0" shapeId="0">
      <text>
        <t>Fonte: controle de governança. Inserir contrato, matrícula, unidade, documento fiscal ou outro suporte documental.</t>
      </text>
    </comment>
    <comment ref="A37" authorId="0" shapeId="0">
      <text>
        <t>Fonte: premissa inicial fornecida pelo usuário; substituir pelo cadastro real e manter o identificador documental.</t>
      </text>
    </comment>
    <comment ref="B37" authorId="0" shapeId="0">
      <text>
        <t>Fonte: premissa inicial fornecida pelo usuário; confirmar tipologia e elegibilidade do redutor social.</t>
      </text>
    </comment>
    <comment ref="C3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7" authorId="0" shapeId="0">
      <text>
        <t>Fonte: premissa inicial: 12 unidades de permuta estimadas. Substituir pela identificação contratual e registral da unidade.</t>
      </text>
    </comment>
    <comment ref="H37" authorId="0" shapeId="0">
      <text>
        <t>Fonte: controle de governança. Inserir contrato, matrícula, unidade, documento fiscal ou outro suporte documental.</t>
      </text>
    </comment>
    <comment ref="A38" authorId="0" shapeId="0">
      <text>
        <t>Fonte: premissa inicial fornecida pelo usuário; substituir pelo cadastro real e manter o identificador documental.</t>
      </text>
    </comment>
    <comment ref="B38" authorId="0" shapeId="0">
      <text>
        <t>Fonte: premissa inicial fornecida pelo usuário; confirmar tipologia e elegibilidade do redutor social.</t>
      </text>
    </comment>
    <comment ref="C3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8" authorId="0" shapeId="0">
      <text>
        <t>Fonte: premissa inicial: 12 unidades de permuta estimadas. Substituir pela identificação contratual e registral da unidade.</t>
      </text>
    </comment>
    <comment ref="H38" authorId="0" shapeId="0">
      <text>
        <t>Fonte: controle de governança. Inserir contrato, matrícula, unidade, documento fiscal ou outro suporte documental.</t>
      </text>
    </comment>
    <comment ref="A39" authorId="0" shapeId="0">
      <text>
        <t>Fonte: premissa inicial fornecida pelo usuário; substituir pelo cadastro real e manter o identificador documental.</t>
      </text>
    </comment>
    <comment ref="B39" authorId="0" shapeId="0">
      <text>
        <t>Fonte: premissa inicial fornecida pelo usuário; confirmar tipologia e elegibilidade do redutor social.</t>
      </text>
    </comment>
    <comment ref="C3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39" authorId="0" shapeId="0">
      <text>
        <t>Fonte: premissa inicial: 12 unidades de permuta estimadas. Substituir pela identificação contratual e registral da unidade.</t>
      </text>
    </comment>
    <comment ref="H39" authorId="0" shapeId="0">
      <text>
        <t>Fonte: controle de governança. Inserir contrato, matrícula, unidade, documento fiscal ou outro suporte documental.</t>
      </text>
    </comment>
    <comment ref="A40" authorId="0" shapeId="0">
      <text>
        <t>Fonte: premissa inicial fornecida pelo usuário; substituir pelo cadastro real e manter o identificador documental.</t>
      </text>
    </comment>
    <comment ref="B40" authorId="0" shapeId="0">
      <text>
        <t>Fonte: premissa inicial fornecida pelo usuário; confirmar tipologia e elegibilidade do redutor social.</t>
      </text>
    </comment>
    <comment ref="C4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0" authorId="0" shapeId="0">
      <text>
        <t>Fonte: premissa inicial: 12 unidades de permuta estimadas. Substituir pela identificação contratual e registral da unidade.</t>
      </text>
    </comment>
    <comment ref="H40" authorId="0" shapeId="0">
      <text>
        <t>Fonte: controle de governança. Inserir contrato, matrícula, unidade, documento fiscal ou outro suporte documental.</t>
      </text>
    </comment>
    <comment ref="A41" authorId="0" shapeId="0">
      <text>
        <t>Fonte: premissa inicial fornecida pelo usuário; substituir pelo cadastro real e manter o identificador documental.</t>
      </text>
    </comment>
    <comment ref="B41" authorId="0" shapeId="0">
      <text>
        <t>Fonte: premissa inicial fornecida pelo usuário; confirmar tipologia e elegibilidade do redutor social.</t>
      </text>
    </comment>
    <comment ref="C4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1" authorId="0" shapeId="0">
      <text>
        <t>Fonte: premissa inicial: 12 unidades de permuta estimadas. Substituir pela identificação contratual e registral da unidade.</t>
      </text>
    </comment>
    <comment ref="H41" authorId="0" shapeId="0">
      <text>
        <t>Fonte: controle de governança. Inserir contrato, matrícula, unidade, documento fiscal ou outro suporte documental.</t>
      </text>
    </comment>
    <comment ref="A42" authorId="0" shapeId="0">
      <text>
        <t>Fonte: premissa inicial fornecida pelo usuário; substituir pelo cadastro real e manter o identificador documental.</t>
      </text>
    </comment>
    <comment ref="B42" authorId="0" shapeId="0">
      <text>
        <t>Fonte: premissa inicial fornecida pelo usuário; confirmar tipologia e elegibilidade do redutor social.</t>
      </text>
    </comment>
    <comment ref="C4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2" authorId="0" shapeId="0">
      <text>
        <t>Fonte: premissa inicial: 12 unidades de permuta estimadas. Substituir pela identificação contratual e registral da unidade.</t>
      </text>
    </comment>
    <comment ref="H42" authorId="0" shapeId="0">
      <text>
        <t>Fonte: controle de governança. Inserir contrato, matrícula, unidade, documento fiscal ou outro suporte documental.</t>
      </text>
    </comment>
    <comment ref="A43" authorId="0" shapeId="0">
      <text>
        <t>Fonte: premissa inicial fornecida pelo usuário; substituir pelo cadastro real e manter o identificador documental.</t>
      </text>
    </comment>
    <comment ref="B43" authorId="0" shapeId="0">
      <text>
        <t>Fonte: premissa inicial fornecida pelo usuário; confirmar tipologia e elegibilidade do redutor social.</t>
      </text>
    </comment>
    <comment ref="C4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3" authorId="0" shapeId="0">
      <text>
        <t>Fonte: premissa inicial: 12 unidades de permuta estimadas. Substituir pela identificação contratual e registral da unidade.</t>
      </text>
    </comment>
    <comment ref="H43" authorId="0" shapeId="0">
      <text>
        <t>Fonte: controle de governança. Inserir contrato, matrícula, unidade, documento fiscal ou outro suporte documental.</t>
      </text>
    </comment>
    <comment ref="A44" authorId="0" shapeId="0">
      <text>
        <t>Fonte: premissa inicial fornecida pelo usuário; substituir pelo cadastro real e manter o identificador documental.</t>
      </text>
    </comment>
    <comment ref="B44" authorId="0" shapeId="0">
      <text>
        <t>Fonte: premissa inicial fornecida pelo usuário; confirmar tipologia e elegibilidade do redutor social.</t>
      </text>
    </comment>
    <comment ref="C4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4" authorId="0" shapeId="0">
      <text>
        <t>Fonte: premissa inicial: 12 unidades de permuta estimadas. Substituir pela identificação contratual e registral da unidade.</t>
      </text>
    </comment>
    <comment ref="H44" authorId="0" shapeId="0">
      <text>
        <t>Fonte: controle de governança. Inserir contrato, matrícula, unidade, documento fiscal ou outro suporte documental.</t>
      </text>
    </comment>
    <comment ref="A45" authorId="0" shapeId="0">
      <text>
        <t>Fonte: premissa inicial fornecida pelo usuário; substituir pelo cadastro real e manter o identificador documental.</t>
      </text>
    </comment>
    <comment ref="B45" authorId="0" shapeId="0">
      <text>
        <t>Fonte: premissa inicial fornecida pelo usuário; confirmar tipologia e elegibilidade do redutor social.</t>
      </text>
    </comment>
    <comment ref="C4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5" authorId="0" shapeId="0">
      <text>
        <t>Fonte: premissa inicial: 12 unidades de permuta estimadas. Substituir pela identificação contratual e registral da unidade.</t>
      </text>
    </comment>
    <comment ref="H45" authorId="0" shapeId="0">
      <text>
        <t>Fonte: controle de governança. Inserir contrato, matrícula, unidade, documento fiscal ou outro suporte documental.</t>
      </text>
    </comment>
    <comment ref="A46" authorId="0" shapeId="0">
      <text>
        <t>Fonte: premissa inicial fornecida pelo usuário; substituir pelo cadastro real e manter o identificador documental.</t>
      </text>
    </comment>
    <comment ref="B46" authorId="0" shapeId="0">
      <text>
        <t>Fonte: premissa inicial fornecida pelo usuário; confirmar tipologia e elegibilidade do redutor social.</t>
      </text>
    </comment>
    <comment ref="C4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6" authorId="0" shapeId="0">
      <text>
        <t>Fonte: premissa inicial: 12 unidades de permuta estimadas. Substituir pela identificação contratual e registral da unidade.</t>
      </text>
    </comment>
    <comment ref="H46" authorId="0" shapeId="0">
      <text>
        <t>Fonte: controle de governança. Inserir contrato, matrícula, unidade, documento fiscal ou outro suporte documental.</t>
      </text>
    </comment>
    <comment ref="A47" authorId="0" shapeId="0">
      <text>
        <t>Fonte: premissa inicial fornecida pelo usuário; substituir pelo cadastro real e manter o identificador documental.</t>
      </text>
    </comment>
    <comment ref="B47" authorId="0" shapeId="0">
      <text>
        <t>Fonte: premissa inicial fornecida pelo usuário; confirmar tipologia e elegibilidade do redutor social.</t>
      </text>
    </comment>
    <comment ref="C4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7" authorId="0" shapeId="0">
      <text>
        <t>Fonte: premissa inicial: 12 unidades de permuta estimadas. Substituir pela identificação contratual e registral da unidade.</t>
      </text>
    </comment>
    <comment ref="H47" authorId="0" shapeId="0">
      <text>
        <t>Fonte: controle de governança. Inserir contrato, matrícula, unidade, documento fiscal ou outro suporte documental.</t>
      </text>
    </comment>
    <comment ref="A48" authorId="0" shapeId="0">
      <text>
        <t>Fonte: premissa inicial fornecida pelo usuário; substituir pelo cadastro real e manter o identificador documental.</t>
      </text>
    </comment>
    <comment ref="B48" authorId="0" shapeId="0">
      <text>
        <t>Fonte: premissa inicial fornecida pelo usuário; confirmar tipologia e elegibilidade do redutor social.</t>
      </text>
    </comment>
    <comment ref="C4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8" authorId="0" shapeId="0">
      <text>
        <t>Fonte: premissa inicial: 12 unidades de permuta estimadas. Substituir pela identificação contratual e registral da unidade.</t>
      </text>
    </comment>
    <comment ref="H48" authorId="0" shapeId="0">
      <text>
        <t>Fonte: controle de governança. Inserir contrato, matrícula, unidade, documento fiscal ou outro suporte documental.</t>
      </text>
    </comment>
    <comment ref="A49" authorId="0" shapeId="0">
      <text>
        <t>Fonte: premissa inicial fornecida pelo usuário; substituir pelo cadastro real e manter o identificador documental.</t>
      </text>
    </comment>
    <comment ref="B49" authorId="0" shapeId="0">
      <text>
        <t>Fonte: premissa inicial fornecida pelo usuário; confirmar tipologia e elegibilidade do redutor social.</t>
      </text>
    </comment>
    <comment ref="C4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49" authorId="0" shapeId="0">
      <text>
        <t>Fonte: premissa inicial: 12 unidades de permuta estimadas. Substituir pela identificação contratual e registral da unidade.</t>
      </text>
    </comment>
    <comment ref="H49" authorId="0" shapeId="0">
      <text>
        <t>Fonte: controle de governança. Inserir contrato, matrícula, unidade, documento fiscal ou outro suporte documental.</t>
      </text>
    </comment>
    <comment ref="A50" authorId="0" shapeId="0">
      <text>
        <t>Fonte: premissa inicial fornecida pelo usuário; substituir pelo cadastro real e manter o identificador documental.</t>
      </text>
    </comment>
    <comment ref="B50" authorId="0" shapeId="0">
      <text>
        <t>Fonte: premissa inicial fornecida pelo usuário; confirmar tipologia e elegibilidade do redutor social.</t>
      </text>
    </comment>
    <comment ref="C5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0" authorId="0" shapeId="0">
      <text>
        <t>Fonte: premissa inicial: 12 unidades de permuta estimadas. Substituir pela identificação contratual e registral da unidade.</t>
      </text>
    </comment>
    <comment ref="H50" authorId="0" shapeId="0">
      <text>
        <t>Fonte: controle de governança. Inserir contrato, matrícula, unidade, documento fiscal ou outro suporte documental.</t>
      </text>
    </comment>
    <comment ref="A51" authorId="0" shapeId="0">
      <text>
        <t>Fonte: premissa inicial fornecida pelo usuário; substituir pelo cadastro real e manter o identificador documental.</t>
      </text>
    </comment>
    <comment ref="B51" authorId="0" shapeId="0">
      <text>
        <t>Fonte: premissa inicial fornecida pelo usuário; confirmar tipologia e elegibilidade do redutor social.</t>
      </text>
    </comment>
    <comment ref="C5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1" authorId="0" shapeId="0">
      <text>
        <t>Fonte: premissa inicial: 12 unidades de permuta estimadas. Substituir pela identificação contratual e registral da unidade.</t>
      </text>
    </comment>
    <comment ref="H51" authorId="0" shapeId="0">
      <text>
        <t>Fonte: controle de governança. Inserir contrato, matrícula, unidade, documento fiscal ou outro suporte documental.</t>
      </text>
    </comment>
    <comment ref="A52" authorId="0" shapeId="0">
      <text>
        <t>Fonte: premissa inicial fornecida pelo usuário; substituir pelo cadastro real e manter o identificador documental.</t>
      </text>
    </comment>
    <comment ref="B52" authorId="0" shapeId="0">
      <text>
        <t>Fonte: premissa inicial fornecida pelo usuário; confirmar tipologia e elegibilidade do redutor social.</t>
      </text>
    </comment>
    <comment ref="C5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2" authorId="0" shapeId="0">
      <text>
        <t>Fonte: premissa inicial: 12 unidades de permuta estimadas. Substituir pela identificação contratual e registral da unidade.</t>
      </text>
    </comment>
    <comment ref="H52" authorId="0" shapeId="0">
      <text>
        <t>Fonte: controle de governança. Inserir contrato, matrícula, unidade, documento fiscal ou outro suporte documental.</t>
      </text>
    </comment>
    <comment ref="A53" authorId="0" shapeId="0">
      <text>
        <t>Fonte: premissa inicial fornecida pelo usuário; substituir pelo cadastro real e manter o identificador documental.</t>
      </text>
    </comment>
    <comment ref="B53" authorId="0" shapeId="0">
      <text>
        <t>Fonte: premissa inicial fornecida pelo usuário; confirmar tipologia e elegibilidade do redutor social.</t>
      </text>
    </comment>
    <comment ref="C5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3" authorId="0" shapeId="0">
      <text>
        <t>Fonte: premissa inicial: 12 unidades de permuta estimadas. Substituir pela identificação contratual e registral da unidade.</t>
      </text>
    </comment>
    <comment ref="H53" authorId="0" shapeId="0">
      <text>
        <t>Fonte: controle de governança. Inserir contrato, matrícula, unidade, documento fiscal ou outro suporte documental.</t>
      </text>
    </comment>
    <comment ref="A54" authorId="0" shapeId="0">
      <text>
        <t>Fonte: premissa inicial fornecida pelo usuário; substituir pelo cadastro real e manter o identificador documental.</t>
      </text>
    </comment>
    <comment ref="B54" authorId="0" shapeId="0">
      <text>
        <t>Fonte: premissa inicial fornecida pelo usuário; confirmar tipologia e elegibilidade do redutor social.</t>
      </text>
    </comment>
    <comment ref="C5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4" authorId="0" shapeId="0">
      <text>
        <t>Fonte: premissa inicial: 12 unidades de permuta estimadas. Substituir pela identificação contratual e registral da unidade.</t>
      </text>
    </comment>
    <comment ref="H54" authorId="0" shapeId="0">
      <text>
        <t>Fonte: controle de governança. Inserir contrato, matrícula, unidade, documento fiscal ou outro suporte documental.</t>
      </text>
    </comment>
    <comment ref="A55" authorId="0" shapeId="0">
      <text>
        <t>Fonte: premissa inicial fornecida pelo usuário; substituir pelo cadastro real e manter o identificador documental.</t>
      </text>
    </comment>
    <comment ref="B55" authorId="0" shapeId="0">
      <text>
        <t>Fonte: premissa inicial fornecida pelo usuário; confirmar tipologia e elegibilidade do redutor social.</t>
      </text>
    </comment>
    <comment ref="C5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5" authorId="0" shapeId="0">
      <text>
        <t>Fonte: premissa inicial: 12 unidades de permuta estimadas. Substituir pela identificação contratual e registral da unidade.</t>
      </text>
    </comment>
    <comment ref="H55" authorId="0" shapeId="0">
      <text>
        <t>Fonte: controle de governança. Inserir contrato, matrícula, unidade, documento fiscal ou outro suporte documental.</t>
      </text>
    </comment>
    <comment ref="A56" authorId="0" shapeId="0">
      <text>
        <t>Fonte: premissa inicial fornecida pelo usuário; substituir pelo cadastro real e manter o identificador documental.</t>
      </text>
    </comment>
    <comment ref="B56" authorId="0" shapeId="0">
      <text>
        <t>Fonte: premissa inicial fornecida pelo usuário; confirmar tipologia e elegibilidade do redutor social.</t>
      </text>
    </comment>
    <comment ref="C5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6" authorId="0" shapeId="0">
      <text>
        <t>Fonte: premissa inicial: 12 unidades de permuta estimadas. Substituir pela identificação contratual e registral da unidade.</t>
      </text>
    </comment>
    <comment ref="H56" authorId="0" shapeId="0">
      <text>
        <t>Fonte: controle de governança. Inserir contrato, matrícula, unidade, documento fiscal ou outro suporte documental.</t>
      </text>
    </comment>
    <comment ref="A57" authorId="0" shapeId="0">
      <text>
        <t>Fonte: premissa inicial fornecida pelo usuário; substituir pelo cadastro real e manter o identificador documental.</t>
      </text>
    </comment>
    <comment ref="B57" authorId="0" shapeId="0">
      <text>
        <t>Fonte: premissa inicial fornecida pelo usuário; confirmar tipologia e elegibilidade do redutor social.</t>
      </text>
    </comment>
    <comment ref="C5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7" authorId="0" shapeId="0">
      <text>
        <t>Fonte: premissa inicial: 12 unidades de permuta estimadas. Substituir pela identificação contratual e registral da unidade.</t>
      </text>
    </comment>
    <comment ref="H57" authorId="0" shapeId="0">
      <text>
        <t>Fonte: controle de governança. Inserir contrato, matrícula, unidade, documento fiscal ou outro suporte documental.</t>
      </text>
    </comment>
    <comment ref="A58" authorId="0" shapeId="0">
      <text>
        <t>Fonte: premissa inicial fornecida pelo usuário; substituir pelo cadastro real e manter o identificador documental.</t>
      </text>
    </comment>
    <comment ref="B58" authorId="0" shapeId="0">
      <text>
        <t>Fonte: premissa inicial fornecida pelo usuário; confirmar tipologia e elegibilidade do redutor social.</t>
      </text>
    </comment>
    <comment ref="C5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8" authorId="0" shapeId="0">
      <text>
        <t>Fonte: premissa inicial: 12 unidades de permuta estimadas. Substituir pela identificação contratual e registral da unidade.</t>
      </text>
    </comment>
    <comment ref="H58" authorId="0" shapeId="0">
      <text>
        <t>Fonte: controle de governança. Inserir contrato, matrícula, unidade, documento fiscal ou outro suporte documental.</t>
      </text>
    </comment>
    <comment ref="A59" authorId="0" shapeId="0">
      <text>
        <t>Fonte: premissa inicial fornecida pelo usuário; substituir pelo cadastro real e manter o identificador documental.</t>
      </text>
    </comment>
    <comment ref="B59" authorId="0" shapeId="0">
      <text>
        <t>Fonte: premissa inicial fornecida pelo usuário; confirmar tipologia e elegibilidade do redutor social.</t>
      </text>
    </comment>
    <comment ref="C5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59" authorId="0" shapeId="0">
      <text>
        <t>Fonte: premissa inicial: 12 unidades de permuta estimadas. Substituir pela identificação contratual e registral da unidade.</t>
      </text>
    </comment>
    <comment ref="H59" authorId="0" shapeId="0">
      <text>
        <t>Fonte: controle de governança. Inserir contrato, matrícula, unidade, documento fiscal ou outro suporte documental.</t>
      </text>
    </comment>
    <comment ref="A60" authorId="0" shapeId="0">
      <text>
        <t>Fonte: premissa inicial fornecida pelo usuário; substituir pelo cadastro real e manter o identificador documental.</t>
      </text>
    </comment>
    <comment ref="B60" authorId="0" shapeId="0">
      <text>
        <t>Fonte: premissa inicial fornecida pelo usuário; confirmar tipologia e elegibilidade do redutor social.</t>
      </text>
    </comment>
    <comment ref="C6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0" authorId="0" shapeId="0">
      <text>
        <t>Fonte: premissa inicial: 12 unidades de permuta estimadas. Substituir pela identificação contratual e registral da unidade.</t>
      </text>
    </comment>
    <comment ref="H60" authorId="0" shapeId="0">
      <text>
        <t>Fonte: controle de governança. Inserir contrato, matrícula, unidade, documento fiscal ou outro suporte documental.</t>
      </text>
    </comment>
    <comment ref="A61" authorId="0" shapeId="0">
      <text>
        <t>Fonte: premissa inicial fornecida pelo usuário; substituir pelo cadastro real e manter o identificador documental.</t>
      </text>
    </comment>
    <comment ref="B61" authorId="0" shapeId="0">
      <text>
        <t>Fonte: premissa inicial fornecida pelo usuário; confirmar tipologia e elegibilidade do redutor social.</t>
      </text>
    </comment>
    <comment ref="C6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1" authorId="0" shapeId="0">
      <text>
        <t>Fonte: premissa inicial: 12 unidades de permuta estimadas. Substituir pela identificação contratual e registral da unidade.</t>
      </text>
    </comment>
    <comment ref="H61" authorId="0" shapeId="0">
      <text>
        <t>Fonte: controle de governança. Inserir contrato, matrícula, unidade, documento fiscal ou outro suporte documental.</t>
      </text>
    </comment>
    <comment ref="A62" authorId="0" shapeId="0">
      <text>
        <t>Fonte: premissa inicial fornecida pelo usuário; substituir pelo cadastro real e manter o identificador documental.</t>
      </text>
    </comment>
    <comment ref="B62" authorId="0" shapeId="0">
      <text>
        <t>Fonte: premissa inicial fornecida pelo usuário; confirmar tipologia e elegibilidade do redutor social.</t>
      </text>
    </comment>
    <comment ref="C6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2" authorId="0" shapeId="0">
      <text>
        <t>Fonte: premissa inicial: 12 unidades de permuta estimadas. Substituir pela identificação contratual e registral da unidade.</t>
      </text>
    </comment>
    <comment ref="H62" authorId="0" shapeId="0">
      <text>
        <t>Fonte: controle de governança. Inserir contrato, matrícula, unidade, documento fiscal ou outro suporte documental.</t>
      </text>
    </comment>
    <comment ref="A63" authorId="0" shapeId="0">
      <text>
        <t>Fonte: premissa inicial fornecida pelo usuário; substituir pelo cadastro real e manter o identificador documental.</t>
      </text>
    </comment>
    <comment ref="B63" authorId="0" shapeId="0">
      <text>
        <t>Fonte: premissa inicial fornecida pelo usuário; confirmar tipologia e elegibilidade do redutor social.</t>
      </text>
    </comment>
    <comment ref="C6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3" authorId="0" shapeId="0">
      <text>
        <t>Fonte: premissa inicial: 12 unidades de permuta estimadas. Substituir pela identificação contratual e registral da unidade.</t>
      </text>
    </comment>
    <comment ref="H63" authorId="0" shapeId="0">
      <text>
        <t>Fonte: controle de governança. Inserir contrato, matrícula, unidade, documento fiscal ou outro suporte documental.</t>
      </text>
    </comment>
    <comment ref="A64" authorId="0" shapeId="0">
      <text>
        <t>Fonte: premissa inicial fornecida pelo usuário; substituir pelo cadastro real e manter o identificador documental.</t>
      </text>
    </comment>
    <comment ref="B64" authorId="0" shapeId="0">
      <text>
        <t>Fonte: premissa inicial fornecida pelo usuário; confirmar tipologia e elegibilidade do redutor social.</t>
      </text>
    </comment>
    <comment ref="C6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4" authorId="0" shapeId="0">
      <text>
        <t>Fonte: premissa inicial: 12 unidades de permuta estimadas. Substituir pela identificação contratual e registral da unidade.</t>
      </text>
    </comment>
    <comment ref="H64" authorId="0" shapeId="0">
      <text>
        <t>Fonte: controle de governança. Inserir contrato, matrícula, unidade, documento fiscal ou outro suporte documental.</t>
      </text>
    </comment>
    <comment ref="A65" authorId="0" shapeId="0">
      <text>
        <t>Fonte: premissa inicial fornecida pelo usuário; substituir pelo cadastro real e manter o identificador documental.</t>
      </text>
    </comment>
    <comment ref="B65" authorId="0" shapeId="0">
      <text>
        <t>Fonte: premissa inicial fornecida pelo usuário; confirmar tipologia e elegibilidade do redutor social.</t>
      </text>
    </comment>
    <comment ref="C6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5" authorId="0" shapeId="0">
      <text>
        <t>Fonte: premissa inicial: 12 unidades de permuta estimadas. Substituir pela identificação contratual e registral da unidade.</t>
      </text>
    </comment>
    <comment ref="H65" authorId="0" shapeId="0">
      <text>
        <t>Fonte: controle de governança. Inserir contrato, matrícula, unidade, documento fiscal ou outro suporte documental.</t>
      </text>
    </comment>
    <comment ref="A66" authorId="0" shapeId="0">
      <text>
        <t>Fonte: premissa inicial fornecida pelo usuário; substituir pelo cadastro real e manter o identificador documental.</t>
      </text>
    </comment>
    <comment ref="B66" authorId="0" shapeId="0">
      <text>
        <t>Fonte: premissa inicial fornecida pelo usuário; confirmar tipologia e elegibilidade do redutor social.</t>
      </text>
    </comment>
    <comment ref="C6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6" authorId="0" shapeId="0">
      <text>
        <t>Fonte: premissa inicial: 12 unidades de permuta estimadas. Substituir pela identificação contratual e registral da unidade.</t>
      </text>
    </comment>
    <comment ref="H66" authorId="0" shapeId="0">
      <text>
        <t>Fonte: controle de governança. Inserir contrato, matrícula, unidade, documento fiscal ou outro suporte documental.</t>
      </text>
    </comment>
    <comment ref="A67" authorId="0" shapeId="0">
      <text>
        <t>Fonte: premissa inicial fornecida pelo usuário; substituir pelo cadastro real e manter o identificador documental.</t>
      </text>
    </comment>
    <comment ref="B67" authorId="0" shapeId="0">
      <text>
        <t>Fonte: premissa inicial fornecida pelo usuário; confirmar tipologia e elegibilidade do redutor social.</t>
      </text>
    </comment>
    <comment ref="C6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7" authorId="0" shapeId="0">
      <text>
        <t>Fonte: premissa inicial: 12 unidades de permuta estimadas. Substituir pela identificação contratual e registral da unidade.</t>
      </text>
    </comment>
    <comment ref="H67" authorId="0" shapeId="0">
      <text>
        <t>Fonte: controle de governança. Inserir contrato, matrícula, unidade, documento fiscal ou outro suporte documental.</t>
      </text>
    </comment>
    <comment ref="A68" authorId="0" shapeId="0">
      <text>
        <t>Fonte: premissa inicial fornecida pelo usuário; substituir pelo cadastro real e manter o identificador documental.</t>
      </text>
    </comment>
    <comment ref="B68" authorId="0" shapeId="0">
      <text>
        <t>Fonte: premissa inicial fornecida pelo usuário; confirmar tipologia e elegibilidade do redutor social.</t>
      </text>
    </comment>
    <comment ref="C6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8" authorId="0" shapeId="0">
      <text>
        <t>Fonte: premissa inicial: 12 unidades de permuta estimadas. Substituir pela identificação contratual e registral da unidade.</t>
      </text>
    </comment>
    <comment ref="H68" authorId="0" shapeId="0">
      <text>
        <t>Fonte: controle de governança. Inserir contrato, matrícula, unidade, documento fiscal ou outro suporte documental.</t>
      </text>
    </comment>
    <comment ref="A69" authorId="0" shapeId="0">
      <text>
        <t>Fonte: premissa inicial fornecida pelo usuário; substituir pelo cadastro real e manter o identificador documental.</t>
      </text>
    </comment>
    <comment ref="B69" authorId="0" shapeId="0">
      <text>
        <t>Fonte: premissa inicial fornecida pelo usuário; confirmar tipologia e elegibilidade do redutor social.</t>
      </text>
    </comment>
    <comment ref="C6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69" authorId="0" shapeId="0">
      <text>
        <t>Fonte: premissa inicial: 12 unidades de permuta estimadas. Substituir pela identificação contratual e registral da unidade.</t>
      </text>
    </comment>
    <comment ref="H69" authorId="0" shapeId="0">
      <text>
        <t>Fonte: controle de governança. Inserir contrato, matrícula, unidade, documento fiscal ou outro suporte documental.</t>
      </text>
    </comment>
    <comment ref="A70" authorId="0" shapeId="0">
      <text>
        <t>Fonte: premissa inicial fornecida pelo usuário; substituir pelo cadastro real e manter o identificador documental.</t>
      </text>
    </comment>
    <comment ref="B70" authorId="0" shapeId="0">
      <text>
        <t>Fonte: premissa inicial fornecida pelo usuário; confirmar tipologia e elegibilidade do redutor social.</t>
      </text>
    </comment>
    <comment ref="C7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0" authorId="0" shapeId="0">
      <text>
        <t>Fonte: premissa inicial: 12 unidades de permuta estimadas. Substituir pela identificação contratual e registral da unidade.</t>
      </text>
    </comment>
    <comment ref="H70" authorId="0" shapeId="0">
      <text>
        <t>Fonte: controle de governança. Inserir contrato, matrícula, unidade, documento fiscal ou outro suporte documental.</t>
      </text>
    </comment>
    <comment ref="A71" authorId="0" shapeId="0">
      <text>
        <t>Fonte: premissa inicial fornecida pelo usuário; substituir pelo cadastro real e manter o identificador documental.</t>
      </text>
    </comment>
    <comment ref="B71" authorId="0" shapeId="0">
      <text>
        <t>Fonte: premissa inicial fornecida pelo usuário; confirmar tipologia e elegibilidade do redutor social.</t>
      </text>
    </comment>
    <comment ref="C7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1" authorId="0" shapeId="0">
      <text>
        <t>Fonte: premissa inicial: 12 unidades de permuta estimadas. Substituir pela identificação contratual e registral da unidade.</t>
      </text>
    </comment>
    <comment ref="H71" authorId="0" shapeId="0">
      <text>
        <t>Fonte: controle de governança. Inserir contrato, matrícula, unidade, documento fiscal ou outro suporte documental.</t>
      </text>
    </comment>
    <comment ref="A72" authorId="0" shapeId="0">
      <text>
        <t>Fonte: premissa inicial fornecida pelo usuário; substituir pelo cadastro real e manter o identificador documental.</t>
      </text>
    </comment>
    <comment ref="B72" authorId="0" shapeId="0">
      <text>
        <t>Fonte: premissa inicial fornecida pelo usuário; confirmar tipologia e elegibilidade do redutor social.</t>
      </text>
    </comment>
    <comment ref="C7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2" authorId="0" shapeId="0">
      <text>
        <t>Fonte: premissa inicial: 12 unidades de permuta estimadas. Substituir pela identificação contratual e registral da unidade.</t>
      </text>
    </comment>
    <comment ref="H72" authorId="0" shapeId="0">
      <text>
        <t>Fonte: controle de governança. Inserir contrato, matrícula, unidade, documento fiscal ou outro suporte documental.</t>
      </text>
    </comment>
    <comment ref="A73" authorId="0" shapeId="0">
      <text>
        <t>Fonte: premissa inicial fornecida pelo usuário; substituir pelo cadastro real e manter o identificador documental.</t>
      </text>
    </comment>
    <comment ref="B73" authorId="0" shapeId="0">
      <text>
        <t>Fonte: premissa inicial fornecida pelo usuário; confirmar tipologia e elegibilidade do redutor social.</t>
      </text>
    </comment>
    <comment ref="C7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3" authorId="0" shapeId="0">
      <text>
        <t>Fonte: premissa inicial: 12 unidades de permuta estimadas. Substituir pela identificação contratual e registral da unidade.</t>
      </text>
    </comment>
    <comment ref="H73" authorId="0" shapeId="0">
      <text>
        <t>Fonte: controle de governança. Inserir contrato, matrícula, unidade, documento fiscal ou outro suporte documental.</t>
      </text>
    </comment>
    <comment ref="A74" authorId="0" shapeId="0">
      <text>
        <t>Fonte: premissa inicial fornecida pelo usuário; substituir pelo cadastro real e manter o identificador documental.</t>
      </text>
    </comment>
    <comment ref="B74" authorId="0" shapeId="0">
      <text>
        <t>Fonte: premissa inicial fornecida pelo usuário; confirmar tipologia e elegibilidade do redutor social.</t>
      </text>
    </comment>
    <comment ref="C7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4" authorId="0" shapeId="0">
      <text>
        <t>Fonte: premissa inicial: 12 unidades de permuta estimadas. Substituir pela identificação contratual e registral da unidade.</t>
      </text>
    </comment>
    <comment ref="H74" authorId="0" shapeId="0">
      <text>
        <t>Fonte: controle de governança. Inserir contrato, matrícula, unidade, documento fiscal ou outro suporte documental.</t>
      </text>
    </comment>
    <comment ref="A75" authorId="0" shapeId="0">
      <text>
        <t>Fonte: premissa inicial fornecida pelo usuário; substituir pelo cadastro real e manter o identificador documental.</t>
      </text>
    </comment>
    <comment ref="B75" authorId="0" shapeId="0">
      <text>
        <t>Fonte: premissa inicial fornecida pelo usuário; confirmar tipologia e elegibilidade do redutor social.</t>
      </text>
    </comment>
    <comment ref="C7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5" authorId="0" shapeId="0">
      <text>
        <t>Fonte: premissa inicial: 12 unidades de permuta estimadas. Substituir pela identificação contratual e registral da unidade.</t>
      </text>
    </comment>
    <comment ref="H75" authorId="0" shapeId="0">
      <text>
        <t>Fonte: controle de governança. Inserir contrato, matrícula, unidade, documento fiscal ou outro suporte documental.</t>
      </text>
    </comment>
    <comment ref="A76" authorId="0" shapeId="0">
      <text>
        <t>Fonte: premissa inicial fornecida pelo usuário; substituir pelo cadastro real e manter o identificador documental.</t>
      </text>
    </comment>
    <comment ref="B76" authorId="0" shapeId="0">
      <text>
        <t>Fonte: premissa inicial fornecida pelo usuário; confirmar tipologia e elegibilidade do redutor social.</t>
      </text>
    </comment>
    <comment ref="C7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6" authorId="0" shapeId="0">
      <text>
        <t>Fonte: premissa inicial: 12 unidades de permuta estimadas. Substituir pela identificação contratual e registral da unidade.</t>
      </text>
    </comment>
    <comment ref="H76" authorId="0" shapeId="0">
      <text>
        <t>Fonte: controle de governança. Inserir contrato, matrícula, unidade, documento fiscal ou outro suporte documental.</t>
      </text>
    </comment>
    <comment ref="A77" authorId="0" shapeId="0">
      <text>
        <t>Fonte: premissa inicial fornecida pelo usuário; substituir pelo cadastro real e manter o identificador documental.</t>
      </text>
    </comment>
    <comment ref="B77" authorId="0" shapeId="0">
      <text>
        <t>Fonte: premissa inicial fornecida pelo usuário; confirmar tipologia e elegibilidade do redutor social.</t>
      </text>
    </comment>
    <comment ref="C7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7" authorId="0" shapeId="0">
      <text>
        <t>Fonte: premissa inicial: 12 unidades de permuta estimadas. Substituir pela identificação contratual e registral da unidade.</t>
      </text>
    </comment>
    <comment ref="H77" authorId="0" shapeId="0">
      <text>
        <t>Fonte: controle de governança. Inserir contrato, matrícula, unidade, documento fiscal ou outro suporte documental.</t>
      </text>
    </comment>
    <comment ref="A78" authorId="0" shapeId="0">
      <text>
        <t>Fonte: premissa inicial fornecida pelo usuário; substituir pelo cadastro real e manter o identificador documental.</t>
      </text>
    </comment>
    <comment ref="B78" authorId="0" shapeId="0">
      <text>
        <t>Fonte: premissa inicial fornecida pelo usuário; confirmar tipologia e elegibilidade do redutor social.</t>
      </text>
    </comment>
    <comment ref="C7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8" authorId="0" shapeId="0">
      <text>
        <t>Fonte: premissa inicial: 12 unidades de permuta estimadas. Substituir pela identificação contratual e registral da unidade.</t>
      </text>
    </comment>
    <comment ref="H78" authorId="0" shapeId="0">
      <text>
        <t>Fonte: controle de governança. Inserir contrato, matrícula, unidade, documento fiscal ou outro suporte documental.</t>
      </text>
    </comment>
    <comment ref="A79" authorId="0" shapeId="0">
      <text>
        <t>Fonte: premissa inicial fornecida pelo usuário; substituir pelo cadastro real e manter o identificador documental.</t>
      </text>
    </comment>
    <comment ref="B79" authorId="0" shapeId="0">
      <text>
        <t>Fonte: premissa inicial fornecida pelo usuário; confirmar tipologia e elegibilidade do redutor social.</t>
      </text>
    </comment>
    <comment ref="C7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79" authorId="0" shapeId="0">
      <text>
        <t>Fonte: premissa inicial: 12 unidades de permuta estimadas. Substituir pela identificação contratual e registral da unidade.</t>
      </text>
    </comment>
    <comment ref="H79" authorId="0" shapeId="0">
      <text>
        <t>Fonte: controle de governança. Inserir contrato, matrícula, unidade, documento fiscal ou outro suporte documental.</t>
      </text>
    </comment>
    <comment ref="A80" authorId="0" shapeId="0">
      <text>
        <t>Fonte: premissa inicial fornecida pelo usuário; substituir pelo cadastro real e manter o identificador documental.</t>
      </text>
    </comment>
    <comment ref="B80" authorId="0" shapeId="0">
      <text>
        <t>Fonte: premissa inicial fornecida pelo usuário; confirmar tipologia e elegibilidade do redutor social.</t>
      </text>
    </comment>
    <comment ref="C8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0" authorId="0" shapeId="0">
      <text>
        <t>Fonte: premissa inicial: 12 unidades de permuta estimadas. Substituir pela identificação contratual e registral da unidade.</t>
      </text>
    </comment>
    <comment ref="H80" authorId="0" shapeId="0">
      <text>
        <t>Fonte: controle de governança. Inserir contrato, matrícula, unidade, documento fiscal ou outro suporte documental.</t>
      </text>
    </comment>
    <comment ref="A81" authorId="0" shapeId="0">
      <text>
        <t>Fonte: premissa inicial fornecida pelo usuário; substituir pelo cadastro real e manter o identificador documental.</t>
      </text>
    </comment>
    <comment ref="B81" authorId="0" shapeId="0">
      <text>
        <t>Fonte: premissa inicial fornecida pelo usuário; confirmar tipologia e elegibilidade do redutor social.</t>
      </text>
    </comment>
    <comment ref="C8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1" authorId="0" shapeId="0">
      <text>
        <t>Fonte: premissa inicial: 12 unidades de permuta estimadas. Substituir pela identificação contratual e registral da unidade.</t>
      </text>
    </comment>
    <comment ref="H81" authorId="0" shapeId="0">
      <text>
        <t>Fonte: controle de governança. Inserir contrato, matrícula, unidade, documento fiscal ou outro suporte documental.</t>
      </text>
    </comment>
    <comment ref="A82" authorId="0" shapeId="0">
      <text>
        <t>Fonte: premissa inicial fornecida pelo usuário; substituir pelo cadastro real e manter o identificador documental.</t>
      </text>
    </comment>
    <comment ref="B82" authorId="0" shapeId="0">
      <text>
        <t>Fonte: premissa inicial fornecida pelo usuário; confirmar tipologia e elegibilidade do redutor social.</t>
      </text>
    </comment>
    <comment ref="C8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2" authorId="0" shapeId="0">
      <text>
        <t>Fonte: premissa inicial: 12 unidades de permuta estimadas. Substituir pela identificação contratual e registral da unidade.</t>
      </text>
    </comment>
    <comment ref="H82" authorId="0" shapeId="0">
      <text>
        <t>Fonte: controle de governança. Inserir contrato, matrícula, unidade, documento fiscal ou outro suporte documental.</t>
      </text>
    </comment>
    <comment ref="A83" authorId="0" shapeId="0">
      <text>
        <t>Fonte: premissa inicial fornecida pelo usuário; substituir pelo cadastro real e manter o identificador documental.</t>
      </text>
    </comment>
    <comment ref="B83" authorId="0" shapeId="0">
      <text>
        <t>Fonte: premissa inicial fornecida pelo usuário; confirmar tipologia e elegibilidade do redutor social.</t>
      </text>
    </comment>
    <comment ref="C8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3" authorId="0" shapeId="0">
      <text>
        <t>Fonte: premissa inicial: 12 unidades de permuta estimadas. Substituir pela identificação contratual e registral da unidade.</t>
      </text>
    </comment>
    <comment ref="H83" authorId="0" shapeId="0">
      <text>
        <t>Fonte: controle de governança. Inserir contrato, matrícula, unidade, documento fiscal ou outro suporte documental.</t>
      </text>
    </comment>
    <comment ref="A84" authorId="0" shapeId="0">
      <text>
        <t>Fonte: premissa inicial fornecida pelo usuário; substituir pelo cadastro real e manter o identificador documental.</t>
      </text>
    </comment>
    <comment ref="B84" authorId="0" shapeId="0">
      <text>
        <t>Fonte: premissa inicial fornecida pelo usuário; confirmar tipologia e elegibilidade do redutor social.</t>
      </text>
    </comment>
    <comment ref="C8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4" authorId="0" shapeId="0">
      <text>
        <t>Fonte: premissa inicial: 12 unidades de permuta estimadas. Substituir pela identificação contratual e registral da unidade.</t>
      </text>
    </comment>
    <comment ref="H84" authorId="0" shapeId="0">
      <text>
        <t>Fonte: controle de governança. Inserir contrato, matrícula, unidade, documento fiscal ou outro suporte documental.</t>
      </text>
    </comment>
    <comment ref="A85" authorId="0" shapeId="0">
      <text>
        <t>Fonte: premissa inicial fornecida pelo usuário; substituir pelo cadastro real e manter o identificador documental.</t>
      </text>
    </comment>
    <comment ref="B85" authorId="0" shapeId="0">
      <text>
        <t>Fonte: premissa inicial fornecida pelo usuário; confirmar tipologia e elegibilidade do redutor social.</t>
      </text>
    </comment>
    <comment ref="C8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5" authorId="0" shapeId="0">
      <text>
        <t>Fonte: premissa inicial: 12 unidades de permuta estimadas. Substituir pela identificação contratual e registral da unidade.</t>
      </text>
    </comment>
    <comment ref="H85" authorId="0" shapeId="0">
      <text>
        <t>Fonte: controle de governança. Inserir contrato, matrícula, unidade, documento fiscal ou outro suporte documental.</t>
      </text>
    </comment>
    <comment ref="A86" authorId="0" shapeId="0">
      <text>
        <t>Fonte: premissa inicial fornecida pelo usuário; substituir pelo cadastro real e manter o identificador documental.</t>
      </text>
    </comment>
    <comment ref="B86" authorId="0" shapeId="0">
      <text>
        <t>Fonte: premissa inicial fornecida pelo usuário; confirmar tipologia e elegibilidade do redutor social.</t>
      </text>
    </comment>
    <comment ref="C8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6" authorId="0" shapeId="0">
      <text>
        <t>Fonte: premissa inicial: 12 unidades de permuta estimadas. Substituir pela identificação contratual e registral da unidade.</t>
      </text>
    </comment>
    <comment ref="H86" authorId="0" shapeId="0">
      <text>
        <t>Fonte: controle de governança. Inserir contrato, matrícula, unidade, documento fiscal ou outro suporte documental.</t>
      </text>
    </comment>
    <comment ref="A87" authorId="0" shapeId="0">
      <text>
        <t>Fonte: premissa inicial fornecida pelo usuário; substituir pelo cadastro real e manter o identificador documental.</t>
      </text>
    </comment>
    <comment ref="B87" authorId="0" shapeId="0">
      <text>
        <t>Fonte: premissa inicial fornecida pelo usuário; confirmar tipologia e elegibilidade do redutor social.</t>
      </text>
    </comment>
    <comment ref="C8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7" authorId="0" shapeId="0">
      <text>
        <t>Fonte: premissa inicial: 12 unidades de permuta estimadas. Substituir pela identificação contratual e registral da unidade.</t>
      </text>
    </comment>
    <comment ref="H87" authorId="0" shapeId="0">
      <text>
        <t>Fonte: controle de governança. Inserir contrato, matrícula, unidade, documento fiscal ou outro suporte documental.</t>
      </text>
    </comment>
    <comment ref="A88" authorId="0" shapeId="0">
      <text>
        <t>Fonte: premissa inicial fornecida pelo usuário; substituir pelo cadastro real e manter o identificador documental.</t>
      </text>
    </comment>
    <comment ref="B88" authorId="0" shapeId="0">
      <text>
        <t>Fonte: premissa inicial fornecida pelo usuário; confirmar tipologia e elegibilidade do redutor social.</t>
      </text>
    </comment>
    <comment ref="C8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8" authorId="0" shapeId="0">
      <text>
        <t>Fonte: premissa inicial: 12 unidades de permuta estimadas. Substituir pela identificação contratual e registral da unidade.</t>
      </text>
    </comment>
    <comment ref="H88" authorId="0" shapeId="0">
      <text>
        <t>Fonte: controle de governança. Inserir contrato, matrícula, unidade, documento fiscal ou outro suporte documental.</t>
      </text>
    </comment>
    <comment ref="A89" authorId="0" shapeId="0">
      <text>
        <t>Fonte: premissa inicial fornecida pelo usuário; substituir pelo cadastro real e manter o identificador documental.</t>
      </text>
    </comment>
    <comment ref="B89" authorId="0" shapeId="0">
      <text>
        <t>Fonte: premissa inicial fornecida pelo usuário; confirmar tipologia e elegibilidade do redutor social.</t>
      </text>
    </comment>
    <comment ref="C8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89" authorId="0" shapeId="0">
      <text>
        <t>Fonte: premissa inicial: 12 unidades de permuta estimadas. Substituir pela identificação contratual e registral da unidade.</t>
      </text>
    </comment>
    <comment ref="H89" authorId="0" shapeId="0">
      <text>
        <t>Fonte: controle de governança. Inserir contrato, matrícula, unidade, documento fiscal ou outro suporte documental.</t>
      </text>
    </comment>
    <comment ref="A90" authorId="0" shapeId="0">
      <text>
        <t>Fonte: premissa inicial fornecida pelo usuário; substituir pelo cadastro real e manter o identificador documental.</t>
      </text>
    </comment>
    <comment ref="B90" authorId="0" shapeId="0">
      <text>
        <t>Fonte: premissa inicial fornecida pelo usuário; confirmar tipologia e elegibilidade do redutor social.</t>
      </text>
    </comment>
    <comment ref="C9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0" authorId="0" shapeId="0">
      <text>
        <t>Fonte: premissa inicial: 12 unidades de permuta estimadas. Substituir pela identificação contratual e registral da unidade.</t>
      </text>
    </comment>
    <comment ref="H90" authorId="0" shapeId="0">
      <text>
        <t>Fonte: controle de governança. Inserir contrato, matrícula, unidade, documento fiscal ou outro suporte documental.</t>
      </text>
    </comment>
    <comment ref="A91" authorId="0" shapeId="0">
      <text>
        <t>Fonte: premissa inicial fornecida pelo usuário; substituir pelo cadastro real e manter o identificador documental.</t>
      </text>
    </comment>
    <comment ref="B91" authorId="0" shapeId="0">
      <text>
        <t>Fonte: premissa inicial fornecida pelo usuário; confirmar tipologia e elegibilidade do redutor social.</t>
      </text>
    </comment>
    <comment ref="C9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1" authorId="0" shapeId="0">
      <text>
        <t>Fonte: premissa inicial: 12 unidades de permuta estimadas. Substituir pela identificação contratual e registral da unidade.</t>
      </text>
    </comment>
    <comment ref="H91" authorId="0" shapeId="0">
      <text>
        <t>Fonte: controle de governança. Inserir contrato, matrícula, unidade, documento fiscal ou outro suporte documental.</t>
      </text>
    </comment>
    <comment ref="A92" authorId="0" shapeId="0">
      <text>
        <t>Fonte: premissa inicial fornecida pelo usuário; substituir pelo cadastro real e manter o identificador documental.</t>
      </text>
    </comment>
    <comment ref="B92" authorId="0" shapeId="0">
      <text>
        <t>Fonte: premissa inicial fornecida pelo usuário; confirmar tipologia e elegibilidade do redutor social.</t>
      </text>
    </comment>
    <comment ref="C9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2" authorId="0" shapeId="0">
      <text>
        <t>Fonte: premissa inicial: 12 unidades de permuta estimadas. Substituir pela identificação contratual e registral da unidade.</t>
      </text>
    </comment>
    <comment ref="H92" authorId="0" shapeId="0">
      <text>
        <t>Fonte: controle de governança. Inserir contrato, matrícula, unidade, documento fiscal ou outro suporte documental.</t>
      </text>
    </comment>
    <comment ref="A93" authorId="0" shapeId="0">
      <text>
        <t>Fonte: premissa inicial fornecida pelo usuário; substituir pelo cadastro real e manter o identificador documental.</t>
      </text>
    </comment>
    <comment ref="B93" authorId="0" shapeId="0">
      <text>
        <t>Fonte: premissa inicial fornecida pelo usuário; confirmar tipologia e elegibilidade do redutor social.</t>
      </text>
    </comment>
    <comment ref="C9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3" authorId="0" shapeId="0">
      <text>
        <t>Fonte: premissa inicial: 12 unidades de permuta estimadas. Substituir pela identificação contratual e registral da unidade.</t>
      </text>
    </comment>
    <comment ref="H93" authorId="0" shapeId="0">
      <text>
        <t>Fonte: controle de governança. Inserir contrato, matrícula, unidade, documento fiscal ou outro suporte documental.</t>
      </text>
    </comment>
    <comment ref="A94" authorId="0" shapeId="0">
      <text>
        <t>Fonte: premissa inicial fornecida pelo usuário; substituir pelo cadastro real e manter o identificador documental.</t>
      </text>
    </comment>
    <comment ref="B94" authorId="0" shapeId="0">
      <text>
        <t>Fonte: premissa inicial fornecida pelo usuário; confirmar tipologia e elegibilidade do redutor social.</t>
      </text>
    </comment>
    <comment ref="C9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4" authorId="0" shapeId="0">
      <text>
        <t>Fonte: premissa inicial: 12 unidades de permuta estimadas. Substituir pela identificação contratual e registral da unidade.</t>
      </text>
    </comment>
    <comment ref="H94" authorId="0" shapeId="0">
      <text>
        <t>Fonte: controle de governança. Inserir contrato, matrícula, unidade, documento fiscal ou outro suporte documental.</t>
      </text>
    </comment>
    <comment ref="A95" authorId="0" shapeId="0">
      <text>
        <t>Fonte: premissa inicial fornecida pelo usuário; substituir pelo cadastro real e manter o identificador documental.</t>
      </text>
    </comment>
    <comment ref="B95" authorId="0" shapeId="0">
      <text>
        <t>Fonte: premissa inicial fornecida pelo usuário; confirmar tipologia e elegibilidade do redutor social.</t>
      </text>
    </comment>
    <comment ref="C9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5" authorId="0" shapeId="0">
      <text>
        <t>Fonte: premissa inicial: 12 unidades de permuta estimadas. Substituir pela identificação contratual e registral da unidade.</t>
      </text>
    </comment>
    <comment ref="H95" authorId="0" shapeId="0">
      <text>
        <t>Fonte: controle de governança. Inserir contrato, matrícula, unidade, documento fiscal ou outro suporte documental.</t>
      </text>
    </comment>
    <comment ref="A96" authorId="0" shapeId="0">
      <text>
        <t>Fonte: premissa inicial fornecida pelo usuário; substituir pelo cadastro real e manter o identificador documental.</t>
      </text>
    </comment>
    <comment ref="B96" authorId="0" shapeId="0">
      <text>
        <t>Fonte: premissa inicial fornecida pelo usuário; confirmar tipologia e elegibilidade do redutor social.</t>
      </text>
    </comment>
    <comment ref="C9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6" authorId="0" shapeId="0">
      <text>
        <t>Fonte: premissa inicial: 12 unidades de permuta estimadas. Substituir pela identificação contratual e registral da unidade.</t>
      </text>
    </comment>
    <comment ref="H96" authorId="0" shapeId="0">
      <text>
        <t>Fonte: controle de governança. Inserir contrato, matrícula, unidade, documento fiscal ou outro suporte documental.</t>
      </text>
    </comment>
    <comment ref="A97" authorId="0" shapeId="0">
      <text>
        <t>Fonte: premissa inicial fornecida pelo usuário; substituir pelo cadastro real e manter o identificador documental.</t>
      </text>
    </comment>
    <comment ref="B97" authorId="0" shapeId="0">
      <text>
        <t>Fonte: premissa inicial fornecida pelo usuário; confirmar tipologia e elegibilidade do redutor social.</t>
      </text>
    </comment>
    <comment ref="C9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7" authorId="0" shapeId="0">
      <text>
        <t>Fonte: premissa inicial: 12 unidades de permuta estimadas. Substituir pela identificação contratual e registral da unidade.</t>
      </text>
    </comment>
    <comment ref="H97" authorId="0" shapeId="0">
      <text>
        <t>Fonte: controle de governança. Inserir contrato, matrícula, unidade, documento fiscal ou outro suporte documental.</t>
      </text>
    </comment>
    <comment ref="A98" authorId="0" shapeId="0">
      <text>
        <t>Fonte: premissa inicial fornecida pelo usuário; substituir pelo cadastro real e manter o identificador documental.</t>
      </text>
    </comment>
    <comment ref="B98" authorId="0" shapeId="0">
      <text>
        <t>Fonte: premissa inicial fornecida pelo usuário; confirmar tipologia e elegibilidade do redutor social.</t>
      </text>
    </comment>
    <comment ref="C9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8" authorId="0" shapeId="0">
      <text>
        <t>Fonte: premissa inicial: 12 unidades de permuta estimadas. Substituir pela identificação contratual e registral da unidade.</t>
      </text>
    </comment>
    <comment ref="H98" authorId="0" shapeId="0">
      <text>
        <t>Fonte: controle de governança. Inserir contrato, matrícula, unidade, documento fiscal ou outro suporte documental.</t>
      </text>
    </comment>
    <comment ref="A99" authorId="0" shapeId="0">
      <text>
        <t>Fonte: premissa inicial fornecida pelo usuário; substituir pelo cadastro real e manter o identificador documental.</t>
      </text>
    </comment>
    <comment ref="B99" authorId="0" shapeId="0">
      <text>
        <t>Fonte: premissa inicial fornecida pelo usuário; confirmar tipologia e elegibilidade do redutor social.</t>
      </text>
    </comment>
    <comment ref="C9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99" authorId="0" shapeId="0">
      <text>
        <t>Fonte: premissa inicial: 12 unidades de permuta estimadas. Substituir pela identificação contratual e registral da unidade.</t>
      </text>
    </comment>
    <comment ref="H99" authorId="0" shapeId="0">
      <text>
        <t>Fonte: controle de governança. Inserir contrato, matrícula, unidade, documento fiscal ou outro suporte documental.</t>
      </text>
    </comment>
    <comment ref="A100" authorId="0" shapeId="0">
      <text>
        <t>Fonte: premissa inicial fornecida pelo usuário; substituir pelo cadastro real e manter o identificador documental.</t>
      </text>
    </comment>
    <comment ref="B100" authorId="0" shapeId="0">
      <text>
        <t>Fonte: premissa inicial fornecida pelo usuário; confirmar tipologia e elegibilidade do redutor social.</t>
      </text>
    </comment>
    <comment ref="C10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0" authorId="0" shapeId="0">
      <text>
        <t>Fonte: premissa inicial: 12 unidades de permuta estimadas. Substituir pela identificação contratual e registral da unidade.</t>
      </text>
    </comment>
    <comment ref="H100" authorId="0" shapeId="0">
      <text>
        <t>Fonte: controle de governança. Inserir contrato, matrícula, unidade, documento fiscal ou outro suporte documental.</t>
      </text>
    </comment>
    <comment ref="A101" authorId="0" shapeId="0">
      <text>
        <t>Fonte: premissa inicial fornecida pelo usuário; substituir pelo cadastro real e manter o identificador documental.</t>
      </text>
    </comment>
    <comment ref="B101" authorId="0" shapeId="0">
      <text>
        <t>Fonte: premissa inicial fornecida pelo usuário; confirmar tipologia e elegibilidade do redutor social.</t>
      </text>
    </comment>
    <comment ref="C10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1" authorId="0" shapeId="0">
      <text>
        <t>Fonte: premissa inicial: 12 unidades de permuta estimadas. Substituir pela identificação contratual e registral da unidade.</t>
      </text>
    </comment>
    <comment ref="H101" authorId="0" shapeId="0">
      <text>
        <t>Fonte: controle de governança. Inserir contrato, matrícula, unidade, documento fiscal ou outro suporte documental.</t>
      </text>
    </comment>
    <comment ref="A102" authorId="0" shapeId="0">
      <text>
        <t>Fonte: premissa inicial fornecida pelo usuário; substituir pelo cadastro real e manter o identificador documental.</t>
      </text>
    </comment>
    <comment ref="B102" authorId="0" shapeId="0">
      <text>
        <t>Fonte: premissa inicial fornecida pelo usuário; confirmar tipologia e elegibilidade do redutor social.</t>
      </text>
    </comment>
    <comment ref="C10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2" authorId="0" shapeId="0">
      <text>
        <t>Fonte: premissa inicial: 12 unidades de permuta estimadas. Substituir pela identificação contratual e registral da unidade.</t>
      </text>
    </comment>
    <comment ref="H102" authorId="0" shapeId="0">
      <text>
        <t>Fonte: controle de governança. Inserir contrato, matrícula, unidade, documento fiscal ou outro suporte documental.</t>
      </text>
    </comment>
    <comment ref="A103" authorId="0" shapeId="0">
      <text>
        <t>Fonte: premissa inicial fornecida pelo usuário; substituir pelo cadastro real e manter o identificador documental.</t>
      </text>
    </comment>
    <comment ref="B103" authorId="0" shapeId="0">
      <text>
        <t>Fonte: premissa inicial fornecida pelo usuário; confirmar tipologia e elegibilidade do redutor social.</t>
      </text>
    </comment>
    <comment ref="C103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3" authorId="0" shapeId="0">
      <text>
        <t>Fonte: premissa inicial: 12 unidades de permuta estimadas. Substituir pela identificação contratual e registral da unidade.</t>
      </text>
    </comment>
    <comment ref="H103" authorId="0" shapeId="0">
      <text>
        <t>Fonte: controle de governança. Inserir contrato, matrícula, unidade, documento fiscal ou outro suporte documental.</t>
      </text>
    </comment>
    <comment ref="A104" authorId="0" shapeId="0">
      <text>
        <t>Fonte: premissa inicial fornecida pelo usuário; substituir pelo cadastro real e manter o identificador documental.</t>
      </text>
    </comment>
    <comment ref="B104" authorId="0" shapeId="0">
      <text>
        <t>Fonte: premissa inicial fornecida pelo usuário; confirmar tipologia e elegibilidade do redutor social.</t>
      </text>
    </comment>
    <comment ref="C104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4" authorId="0" shapeId="0">
      <text>
        <t>Fonte: premissa inicial: 12 unidades de permuta estimadas. Substituir pela identificação contratual e registral da unidade.</t>
      </text>
    </comment>
    <comment ref="H104" authorId="0" shapeId="0">
      <text>
        <t>Fonte: controle de governança. Inserir contrato, matrícula, unidade, documento fiscal ou outro suporte documental.</t>
      </text>
    </comment>
    <comment ref="A105" authorId="0" shapeId="0">
      <text>
        <t>Fonte: premissa inicial fornecida pelo usuário; substituir pelo cadastro real e manter o identificador documental.</t>
      </text>
    </comment>
    <comment ref="B105" authorId="0" shapeId="0">
      <text>
        <t>Fonte: premissa inicial fornecida pelo usuário; confirmar tipologia e elegibilidade do redutor social.</t>
      </text>
    </comment>
    <comment ref="C105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5" authorId="0" shapeId="0">
      <text>
        <t>Fonte: premissa inicial: 12 unidades de permuta estimadas. Substituir pela identificação contratual e registral da unidade.</t>
      </text>
    </comment>
    <comment ref="H105" authorId="0" shapeId="0">
      <text>
        <t>Fonte: controle de governança. Inserir contrato, matrícula, unidade, documento fiscal ou outro suporte documental.</t>
      </text>
    </comment>
    <comment ref="A106" authorId="0" shapeId="0">
      <text>
        <t>Fonte: premissa inicial fornecida pelo usuário; substituir pelo cadastro real e manter o identificador documental.</t>
      </text>
    </comment>
    <comment ref="B106" authorId="0" shapeId="0">
      <text>
        <t>Fonte: premissa inicial fornecida pelo usuário; confirmar tipologia e elegibilidade do redutor social.</t>
      </text>
    </comment>
    <comment ref="C106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6" authorId="0" shapeId="0">
      <text>
        <t>Fonte: premissa inicial: 12 unidades de permuta estimadas. Substituir pela identificação contratual e registral da unidade.</t>
      </text>
    </comment>
    <comment ref="H106" authorId="0" shapeId="0">
      <text>
        <t>Fonte: controle de governança. Inserir contrato, matrícula, unidade, documento fiscal ou outro suporte documental.</t>
      </text>
    </comment>
    <comment ref="A107" authorId="0" shapeId="0">
      <text>
        <t>Fonte: premissa inicial fornecida pelo usuário; substituir pelo cadastro real e manter o identificador documental.</t>
      </text>
    </comment>
    <comment ref="B107" authorId="0" shapeId="0">
      <text>
        <t>Fonte: premissa inicial fornecida pelo usuário; confirmar tipologia e elegibilidade do redutor social.</t>
      </text>
    </comment>
    <comment ref="C107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7" authorId="0" shapeId="0">
      <text>
        <t>Fonte: premissa inicial: 12 unidades de permuta estimadas. Substituir pela identificação contratual e registral da unidade.</t>
      </text>
    </comment>
    <comment ref="H107" authorId="0" shapeId="0">
      <text>
        <t>Fonte: controle de governança. Inserir contrato, matrícula, unidade, documento fiscal ou outro suporte documental.</t>
      </text>
    </comment>
    <comment ref="A108" authorId="0" shapeId="0">
      <text>
        <t>Fonte: premissa inicial fornecida pelo usuário; substituir pelo cadastro real e manter o identificador documental.</t>
      </text>
    </comment>
    <comment ref="B108" authorId="0" shapeId="0">
      <text>
        <t>Fonte: premissa inicial fornecida pelo usuário; confirmar tipologia e elegibilidade do redutor social.</t>
      </text>
    </comment>
    <comment ref="C108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8" authorId="0" shapeId="0">
      <text>
        <t>Fonte: premissa inicial: 12 unidades de permuta estimadas. Substituir pela identificação contratual e registral da unidade.</t>
      </text>
    </comment>
    <comment ref="H108" authorId="0" shapeId="0">
      <text>
        <t>Fonte: controle de governança. Inserir contrato, matrícula, unidade, documento fiscal ou outro suporte documental.</t>
      </text>
    </comment>
    <comment ref="A109" authorId="0" shapeId="0">
      <text>
        <t>Fonte: premissa inicial fornecida pelo usuário; substituir pelo cadastro real e manter o identificador documental.</t>
      </text>
    </comment>
    <comment ref="B109" authorId="0" shapeId="0">
      <text>
        <t>Fonte: premissa inicial fornecida pelo usuário; confirmar tipologia e elegibilidade do redutor social.</t>
      </text>
    </comment>
    <comment ref="C109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09" authorId="0" shapeId="0">
      <text>
        <t>Fonte: premissa inicial: 12 unidades de permuta estimadas. Substituir pela identificação contratual e registral da unidade.</t>
      </text>
    </comment>
    <comment ref="H109" authorId="0" shapeId="0">
      <text>
        <t>Fonte: controle de governança. Inserir contrato, matrícula, unidade, documento fiscal ou outro suporte documental.</t>
      </text>
    </comment>
    <comment ref="A110" authorId="0" shapeId="0">
      <text>
        <t>Fonte: premissa inicial fornecida pelo usuário; substituir pelo cadastro real e manter o identificador documental.</t>
      </text>
    </comment>
    <comment ref="B110" authorId="0" shapeId="0">
      <text>
        <t>Fonte: premissa inicial fornecida pelo usuário; confirmar tipologia e elegibilidade do redutor social.</t>
      </text>
    </comment>
    <comment ref="C110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0" authorId="0" shapeId="0">
      <text>
        <t>Fonte: premissa inicial: 12 unidades de permuta estimadas. Substituir pela identificação contratual e registral da unidade.</t>
      </text>
    </comment>
    <comment ref="H110" authorId="0" shapeId="0">
      <text>
        <t>Fonte: controle de governança. Inserir contrato, matrícula, unidade, documento fiscal ou outro suporte documental.</t>
      </text>
    </comment>
    <comment ref="A111" authorId="0" shapeId="0">
      <text>
        <t>Fonte: premissa inicial fornecida pelo usuário; substituir pelo cadastro real e manter o identificador documental.</t>
      </text>
    </comment>
    <comment ref="B111" authorId="0" shapeId="0">
      <text>
        <t>Fonte: premissa inicial fornecida pelo usuário; confirmar tipologia e elegibilidade do redutor social.</t>
      </text>
    </comment>
    <comment ref="C111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1" authorId="0" shapeId="0">
      <text>
        <t>Fonte: premissa inicial: 12 unidades de permuta estimadas. Substituir pela identificação contratual e registral da unidade.</t>
      </text>
    </comment>
    <comment ref="H111" authorId="0" shapeId="0">
      <text>
        <t>Fonte: controle de governança. Inserir contrato, matrícula, unidade, documento fiscal ou outro suporte documental.</t>
      </text>
    </comment>
    <comment ref="A112" authorId="0" shapeId="0">
      <text>
        <t>Fonte: premissa inicial fornecida pelo usuário; substituir pelo cadastro real e manter o identificador documental.</t>
      </text>
    </comment>
    <comment ref="B112" authorId="0" shapeId="0">
      <text>
        <t>Fonte: premissa inicial fornecida pelo usuário; confirmar tipologia e elegibilidade do redutor social.</t>
      </text>
    </comment>
    <comment ref="C112" authorId="0" shapeId="0">
      <text>
        <t>Fonte: premissas iniciais reconciliadas: R$ 33 milhões divididos por 12 unidades de permuta e R$ 247 milhões divididos por 88 unidades tributáveis. Substituir pelo preço contratual real de cada unidade.</t>
      </text>
    </comment>
    <comment ref="D112" authorId="0" shapeId="0">
      <text>
        <t>Fonte: premissa inicial: 12 unidades de permuta estimadas. Substituir pela identificação contratual e registral da unidade.</t>
      </text>
    </comment>
    <comment ref="H112" authorId="0" shapeId="0">
      <text>
        <t>Fonte: controle de governança. Inserir contrato, matrícula, unidade, documento fiscal ou outro suporte documental.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3" authorId="0" shapeId="0">
      <text>
        <t>Fonte: registro interno do modelo; substituir pelo identificador do documento ou lote de documentos.</t>
      </text>
    </comment>
    <comment ref="B13" authorId="0" shapeId="0">
      <text>
        <t>Fonte: classificação do registro; confirmar se é obra ou despesa.</t>
      </text>
    </comment>
    <comment ref="C13" authorId="0" shapeId="0">
      <text>
        <t>Fonte: premissas fornecidas pelo usuário para as cinco despesas iniciais; demais linhas são reservadas para cadastro.</t>
      </text>
    </comment>
    <comment ref="D13" authorId="0" shapeId="0">
      <text>
        <t>Fonte: governança; inserir fornecedor efetivo e CNPJ quando aplicável.</t>
      </text>
    </comment>
    <comment ref="E13" authorId="0" shapeId="0">
      <text>
        <t>Fonte: premissa inicial para as linhas carregadas; confirmar regime no documento e cadastro fiscal.</t>
      </text>
    </comment>
    <comment ref="F13" authorId="0" shapeId="0">
      <text>
        <t>Fonte: governança; inserir documento fiscal idôneo, chave ou referência de lote.</t>
      </text>
    </comment>
    <comment ref="G13" authorId="0" shapeId="0">
      <text>
        <t>Fonte: governança; inserir competência ou data de apropriação.</t>
      </text>
    </comment>
    <comment ref="A14" authorId="0" shapeId="0">
      <text>
        <t>Fonte: registro interno do modelo; substituir pelo identificador do documento ou lote de documentos.</t>
      </text>
    </comment>
    <comment ref="B14" authorId="0" shapeId="0">
      <text>
        <t>Fonte: classificação do registro; confirmar se é obra ou despesa.</t>
      </text>
    </comment>
    <comment ref="C14" authorId="0" shapeId="0">
      <text>
        <t>Fonte: premissas fornecidas pelo usuário para as cinco despesas iniciais; demais linhas são reservadas para cadastro.</t>
      </text>
    </comment>
    <comment ref="D14" authorId="0" shapeId="0">
      <text>
        <t>Fonte: governança; inserir fornecedor efetivo e CNPJ quando aplicável.</t>
      </text>
    </comment>
    <comment ref="E14" authorId="0" shapeId="0">
      <text>
        <t>Fonte: premissa inicial para as linhas carregadas; confirmar regime no documento e cadastro fiscal.</t>
      </text>
    </comment>
    <comment ref="F14" authorId="0" shapeId="0">
      <text>
        <t>Fonte: governança; inserir documento fiscal idôneo, chave ou referência de lote.</t>
      </text>
    </comment>
    <comment ref="G14" authorId="0" shapeId="0">
      <text>
        <t>Fonte: governança; inserir competência ou data de apropriação.</t>
      </text>
    </comment>
    <comment ref="A15" authorId="0" shapeId="0">
      <text>
        <t>Fonte: registro interno do modelo; substituir pelo identificador do documento ou lote de documentos.</t>
      </text>
    </comment>
    <comment ref="B15" authorId="0" shapeId="0">
      <text>
        <t>Fonte: classificação do registro; confirmar se é obra ou despesa.</t>
      </text>
    </comment>
    <comment ref="C15" authorId="0" shapeId="0">
      <text>
        <t>Fonte: premissas fornecidas pelo usuário para as cinco despesas iniciais; demais linhas são reservadas para cadastro.</t>
      </text>
    </comment>
    <comment ref="D15" authorId="0" shapeId="0">
      <text>
        <t>Fonte: governança; inserir fornecedor efetivo e CNPJ quando aplicável.</t>
      </text>
    </comment>
    <comment ref="E15" authorId="0" shapeId="0">
      <text>
        <t>Fonte: premissa inicial para as linhas carregadas; confirmar regime no documento e cadastro fiscal.</t>
      </text>
    </comment>
    <comment ref="F15" authorId="0" shapeId="0">
      <text>
        <t>Fonte: governança; inserir documento fiscal idôneo, chave ou referência de lote.</t>
      </text>
    </comment>
    <comment ref="G15" authorId="0" shapeId="0">
      <text>
        <t>Fonte: governança; inserir competência ou data de apropriação.</t>
      </text>
    </comment>
    <comment ref="A16" authorId="0" shapeId="0">
      <text>
        <t>Fonte: registro interno do modelo; substituir pelo identificador do documento ou lote de documentos.</t>
      </text>
    </comment>
    <comment ref="B16" authorId="0" shapeId="0">
      <text>
        <t>Fonte: classificação do registro; confirmar se é obra ou despesa.</t>
      </text>
    </comment>
    <comment ref="C16" authorId="0" shapeId="0">
      <text>
        <t>Fonte: premissas fornecidas pelo usuário para as cinco despesas iniciais; demais linhas são reservadas para cadastro.</t>
      </text>
    </comment>
    <comment ref="D16" authorId="0" shapeId="0">
      <text>
        <t>Fonte: governança; inserir fornecedor efetivo e CNPJ quando aplicável.</t>
      </text>
    </comment>
    <comment ref="E16" authorId="0" shapeId="0">
      <text>
        <t>Fonte: premissa inicial para as linhas carregadas; confirmar regime no documento e cadastro fiscal.</t>
      </text>
    </comment>
    <comment ref="F16" authorId="0" shapeId="0">
      <text>
        <t>Fonte: governança; inserir documento fiscal idôneo, chave ou referência de lote.</t>
      </text>
    </comment>
    <comment ref="G16" authorId="0" shapeId="0">
      <text>
        <t>Fonte: governança; inserir competência ou data de apropriação.</t>
      </text>
    </comment>
    <comment ref="A17" authorId="0" shapeId="0">
      <text>
        <t>Fonte: registro interno do modelo; substituir pelo identificador do documento ou lote de documentos.</t>
      </text>
    </comment>
    <comment ref="B17" authorId="0" shapeId="0">
      <text>
        <t>Fonte: classificação do registro; confirmar se é obra ou despesa.</t>
      </text>
    </comment>
    <comment ref="C17" authorId="0" shapeId="0">
      <text>
        <t>Fonte: premissas fornecidas pelo usuário para as cinco despesas iniciais; demais linhas são reservadas para cadastro.</t>
      </text>
    </comment>
    <comment ref="D17" authorId="0" shapeId="0">
      <text>
        <t>Fonte: governança; inserir fornecedor efetivo e CNPJ quando aplicável.</t>
      </text>
    </comment>
    <comment ref="E17" authorId="0" shapeId="0">
      <text>
        <t>Fonte: premissa inicial para as linhas carregadas; confirmar regime no documento e cadastro fiscal.</t>
      </text>
    </comment>
    <comment ref="F17" authorId="0" shapeId="0">
      <text>
        <t>Fonte: governança; inserir documento fiscal idôneo, chave ou referência de lote.</t>
      </text>
    </comment>
    <comment ref="G17" authorId="0" shapeId="0">
      <text>
        <t>Fonte: governança; inserir competência ou data de apropriação.</t>
      </text>
    </comment>
    <comment ref="A18" authorId="0" shapeId="0">
      <text>
        <t>Fonte: registro interno do modelo; substituir pelo identificador do documento ou lote de documentos.</t>
      </text>
    </comment>
    <comment ref="B18" authorId="0" shapeId="0">
      <text>
        <t>Fonte: classificação do registro; confirmar se é obra ou despesa.</t>
      </text>
    </comment>
    <comment ref="C18" authorId="0" shapeId="0">
      <text>
        <t>Fonte: premissas fornecidas pelo usuário para as cinco despesas iniciais; demais linhas são reservadas para cadastro.</t>
      </text>
    </comment>
    <comment ref="D18" authorId="0" shapeId="0">
      <text>
        <t>Fonte: governança; inserir fornecedor efetivo e CNPJ quando aplicável.</t>
      </text>
    </comment>
    <comment ref="E18" authorId="0" shapeId="0">
      <text>
        <t>Fonte: premissa inicial para as linhas carregadas; confirmar regime no documento e cadastro fiscal.</t>
      </text>
    </comment>
    <comment ref="F18" authorId="0" shapeId="0">
      <text>
        <t>Fonte: governança; inserir documento fiscal idôneo, chave ou referência de lote.</t>
      </text>
    </comment>
    <comment ref="G18" authorId="0" shapeId="0">
      <text>
        <t>Fonte: governança; inserir competência ou data de apropriação.</t>
      </text>
    </comment>
    <comment ref="H18" authorId="0" shapeId="0">
      <text>
        <t>Fonte: linha reservada para cadastro real de documentos de obra.</t>
      </text>
    </comment>
    <comment ref="A19" authorId="0" shapeId="0">
      <text>
        <t>Fonte: registro interno do modelo; substituir pelo identificador do documento ou lote de documentos.</t>
      </text>
    </comment>
    <comment ref="B19" authorId="0" shapeId="0">
      <text>
        <t>Fonte: classificação do registro; confirmar se é obra ou despesa.</t>
      </text>
    </comment>
    <comment ref="C19" authorId="0" shapeId="0">
      <text>
        <t>Fonte: premissas fornecidas pelo usuário para as cinco despesas iniciais; demais linhas são reservadas para cadastro.</t>
      </text>
    </comment>
    <comment ref="D19" authorId="0" shapeId="0">
      <text>
        <t>Fonte: governança; inserir fornecedor efetivo e CNPJ quando aplicável.</t>
      </text>
    </comment>
    <comment ref="E19" authorId="0" shapeId="0">
      <text>
        <t>Fonte: premissa inicial para as linhas carregadas; confirmar regime no documento e cadastro fiscal.</t>
      </text>
    </comment>
    <comment ref="F19" authorId="0" shapeId="0">
      <text>
        <t>Fonte: governança; inserir documento fiscal idôneo, chave ou referência de lote.</t>
      </text>
    </comment>
    <comment ref="G19" authorId="0" shapeId="0">
      <text>
        <t>Fonte: governança; inserir competência ou data de apropriação.</t>
      </text>
    </comment>
    <comment ref="H19" authorId="0" shapeId="0">
      <text>
        <t>Fonte: linha reservada para cadastro real de documentos de obra.</t>
      </text>
    </comment>
    <comment ref="A20" authorId="0" shapeId="0">
      <text>
        <t>Fonte: registro interno do modelo; substituir pelo identificador do documento ou lote de documentos.</t>
      </text>
    </comment>
    <comment ref="B20" authorId="0" shapeId="0">
      <text>
        <t>Fonte: classificação do registro; confirmar se é obra ou despesa.</t>
      </text>
    </comment>
    <comment ref="C20" authorId="0" shapeId="0">
      <text>
        <t>Fonte: premissas fornecidas pelo usuário para as cinco despesas iniciais; demais linhas são reservadas para cadastro.</t>
      </text>
    </comment>
    <comment ref="D20" authorId="0" shapeId="0">
      <text>
        <t>Fonte: governança; inserir fornecedor efetivo e CNPJ quando aplicável.</t>
      </text>
    </comment>
    <comment ref="E20" authorId="0" shapeId="0">
      <text>
        <t>Fonte: premissa inicial para as linhas carregadas; confirmar regime no documento e cadastro fiscal.</t>
      </text>
    </comment>
    <comment ref="F20" authorId="0" shapeId="0">
      <text>
        <t>Fonte: governança; inserir documento fiscal idôneo, chave ou referência de lote.</t>
      </text>
    </comment>
    <comment ref="G20" authorId="0" shapeId="0">
      <text>
        <t>Fonte: governança; inserir competência ou data de apropriação.</t>
      </text>
    </comment>
    <comment ref="H20" authorId="0" shapeId="0">
      <text>
        <t>Fonte: linha reservada para cadastro real de documentos de obra.</t>
      </text>
    </comment>
    <comment ref="A21" authorId="0" shapeId="0">
      <text>
        <t>Fonte: registro interno do modelo; substituir pelo identificador do documento ou lote de documentos.</t>
      </text>
    </comment>
    <comment ref="B21" authorId="0" shapeId="0">
      <text>
        <t>Fonte: classificação do registro; confirmar se é obra ou despesa.</t>
      </text>
    </comment>
    <comment ref="C21" authorId="0" shapeId="0">
      <text>
        <t>Fonte: premissas fornecidas pelo usuário para as cinco despesas iniciais; demais linhas são reservadas para cadastro.</t>
      </text>
    </comment>
    <comment ref="D21" authorId="0" shapeId="0">
      <text>
        <t>Fonte: governança; inserir fornecedor efetivo e CNPJ quando aplicável.</t>
      </text>
    </comment>
    <comment ref="E21" authorId="0" shapeId="0">
      <text>
        <t>Fonte: premissa inicial para as linhas carregadas; confirmar regime no documento e cadastro fiscal.</t>
      </text>
    </comment>
    <comment ref="F21" authorId="0" shapeId="0">
      <text>
        <t>Fonte: governança; inserir documento fiscal idôneo, chave ou referência de lote.</t>
      </text>
    </comment>
    <comment ref="G21" authorId="0" shapeId="0">
      <text>
        <t>Fonte: governança; inserir competência ou data de apropriação.</t>
      </text>
    </comment>
    <comment ref="H21" authorId="0" shapeId="0">
      <text>
        <t>Fonte: linha reservada para cadastro real de documentos de obra.</t>
      </text>
    </comment>
    <comment ref="A22" authorId="0" shapeId="0">
      <text>
        <t>Fonte: registro interno do modelo; substituir pelo identificador do documento ou lote de documentos.</t>
      </text>
    </comment>
    <comment ref="B22" authorId="0" shapeId="0">
      <text>
        <t>Fonte: classificação do registro; confirmar se é obra ou despesa.</t>
      </text>
    </comment>
    <comment ref="C22" authorId="0" shapeId="0">
      <text>
        <t>Fonte: premissas fornecidas pelo usuário para as cinco despesas iniciais; demais linhas são reservadas para cadastro.</t>
      </text>
    </comment>
    <comment ref="D22" authorId="0" shapeId="0">
      <text>
        <t>Fonte: governança; inserir fornecedor efetivo e CNPJ quando aplicável.</t>
      </text>
    </comment>
    <comment ref="E22" authorId="0" shapeId="0">
      <text>
        <t>Fonte: premissa inicial para as linhas carregadas; confirmar regime no documento e cadastro fiscal.</t>
      </text>
    </comment>
    <comment ref="F22" authorId="0" shapeId="0">
      <text>
        <t>Fonte: governança; inserir documento fiscal idôneo, chave ou referência de lote.</t>
      </text>
    </comment>
    <comment ref="G22" authorId="0" shapeId="0">
      <text>
        <t>Fonte: governança; inserir competência ou data de apropriação.</t>
      </text>
    </comment>
    <comment ref="H22" authorId="0" shapeId="0">
      <text>
        <t>Fonte: linha reservada para cadastro real de documentos de obra.</t>
      </text>
    </comment>
    <comment ref="A23" authorId="0" shapeId="0">
      <text>
        <t>Fonte: registro interno do modelo; substituir pelo identificador do documento ou lote de documentos.</t>
      </text>
    </comment>
    <comment ref="B23" authorId="0" shapeId="0">
      <text>
        <t>Fonte: classificação do registro; confirmar se é obra ou despesa.</t>
      </text>
    </comment>
    <comment ref="C23" authorId="0" shapeId="0">
      <text>
        <t>Fonte: premissas fornecidas pelo usuário para as cinco despesas iniciais; demais linhas são reservadas para cadastro.</t>
      </text>
    </comment>
    <comment ref="D23" authorId="0" shapeId="0">
      <text>
        <t>Fonte: governança; inserir fornecedor efetivo e CNPJ quando aplicável.</t>
      </text>
    </comment>
    <comment ref="E23" authorId="0" shapeId="0">
      <text>
        <t>Fonte: premissa inicial para as linhas carregadas; confirmar regime no documento e cadastro fiscal.</t>
      </text>
    </comment>
    <comment ref="F23" authorId="0" shapeId="0">
      <text>
        <t>Fonte: governança; inserir documento fiscal idôneo, chave ou referência de lote.</t>
      </text>
    </comment>
    <comment ref="G23" authorId="0" shapeId="0">
      <text>
        <t>Fonte: governança; inserir competência ou data de apropriação.</t>
      </text>
    </comment>
    <comment ref="H23" authorId="0" shapeId="0">
      <text>
        <t>Fonte: linha reservada para cadastro real de documentos de obra.</t>
      </text>
    </comment>
    <comment ref="A24" authorId="0" shapeId="0">
      <text>
        <t>Fonte: registro interno do modelo; substituir pelo identificador do documento ou lote de documentos.</t>
      </text>
    </comment>
    <comment ref="B24" authorId="0" shapeId="0">
      <text>
        <t>Fonte: classificação do registro; confirmar se é obra ou despesa.</t>
      </text>
    </comment>
    <comment ref="C24" authorId="0" shapeId="0">
      <text>
        <t>Fonte: premissas fornecidas pelo usuário para as cinco despesas iniciais; demais linhas são reservadas para cadastro.</t>
      </text>
    </comment>
    <comment ref="D24" authorId="0" shapeId="0">
      <text>
        <t>Fonte: governança; inserir fornecedor efetivo e CNPJ quando aplicável.</t>
      </text>
    </comment>
    <comment ref="E24" authorId="0" shapeId="0">
      <text>
        <t>Fonte: premissa inicial para as linhas carregadas; confirmar regime no documento e cadastro fiscal.</t>
      </text>
    </comment>
    <comment ref="F24" authorId="0" shapeId="0">
      <text>
        <t>Fonte: governança; inserir documento fiscal idôneo, chave ou referência de lote.</t>
      </text>
    </comment>
    <comment ref="G24" authorId="0" shapeId="0">
      <text>
        <t>Fonte: governança; inserir competência ou data de apropriação.</t>
      </text>
    </comment>
    <comment ref="H24" authorId="0" shapeId="0">
      <text>
        <t>Fonte: linha reservada para cadastro real de documentos de obra.</t>
      </text>
    </comment>
    <comment ref="A25" authorId="0" shapeId="0">
      <text>
        <t>Fonte: registro interno do modelo; substituir pelo identificador do documento ou lote de documentos.</t>
      </text>
    </comment>
    <comment ref="B25" authorId="0" shapeId="0">
      <text>
        <t>Fonte: classificação do registro; confirmar se é obra ou despesa.</t>
      </text>
    </comment>
    <comment ref="C25" authorId="0" shapeId="0">
      <text>
        <t>Fonte: premissas fornecidas pelo usuário para as cinco despesas iniciais; demais linhas são reservadas para cadastro.</t>
      </text>
    </comment>
    <comment ref="D25" authorId="0" shapeId="0">
      <text>
        <t>Fonte: governança; inserir fornecedor efetivo e CNPJ quando aplicável.</t>
      </text>
    </comment>
    <comment ref="E25" authorId="0" shapeId="0">
      <text>
        <t>Fonte: premissa inicial para as linhas carregadas; confirmar regime no documento e cadastro fiscal.</t>
      </text>
    </comment>
    <comment ref="F25" authorId="0" shapeId="0">
      <text>
        <t>Fonte: governança; inserir documento fiscal idôneo, chave ou referência de lote.</t>
      </text>
    </comment>
    <comment ref="G25" authorId="0" shapeId="0">
      <text>
        <t>Fonte: governança; inserir competência ou data de apropriação.</t>
      </text>
    </comment>
    <comment ref="H25" authorId="0" shapeId="0">
      <text>
        <t>Fonte: linha reservada para cadastro real de documentos de obra.</t>
      </text>
    </comment>
    <comment ref="A26" authorId="0" shapeId="0">
      <text>
        <t>Fonte: registro interno do modelo; substituir pelo identificador do documento ou lote de documentos.</t>
      </text>
    </comment>
    <comment ref="B26" authorId="0" shapeId="0">
      <text>
        <t>Fonte: classificação do registro; confirmar se é obra ou despesa.</t>
      </text>
    </comment>
    <comment ref="C26" authorId="0" shapeId="0">
      <text>
        <t>Fonte: premissas fornecidas pelo usuário para as cinco despesas iniciais; demais linhas são reservadas para cadastro.</t>
      </text>
    </comment>
    <comment ref="D26" authorId="0" shapeId="0">
      <text>
        <t>Fonte: governança; inserir fornecedor efetivo e CNPJ quando aplicável.</t>
      </text>
    </comment>
    <comment ref="E26" authorId="0" shapeId="0">
      <text>
        <t>Fonte: premissa inicial para as linhas carregadas; confirmar regime no documento e cadastro fiscal.</t>
      </text>
    </comment>
    <comment ref="F26" authorId="0" shapeId="0">
      <text>
        <t>Fonte: governança; inserir documento fiscal idôneo, chave ou referência de lote.</t>
      </text>
    </comment>
    <comment ref="G26" authorId="0" shapeId="0">
      <text>
        <t>Fonte: governança; inserir competência ou data de apropriação.</t>
      </text>
    </comment>
    <comment ref="H26" authorId="0" shapeId="0">
      <text>
        <t>Fonte: linha reservada para cadastro real de documentos de obra.</t>
      </text>
    </comment>
    <comment ref="A27" authorId="0" shapeId="0">
      <text>
        <t>Fonte: registro interno do modelo; substituir pelo identificador do documento ou lote de documentos.</t>
      </text>
    </comment>
    <comment ref="B27" authorId="0" shapeId="0">
      <text>
        <t>Fonte: classificação do registro; confirmar se é obra ou despesa.</t>
      </text>
    </comment>
    <comment ref="C27" authorId="0" shapeId="0">
      <text>
        <t>Fonte: premissas fornecidas pelo usuário para as cinco despesas iniciais; demais linhas são reservadas para cadastro.</t>
      </text>
    </comment>
    <comment ref="D27" authorId="0" shapeId="0">
      <text>
        <t>Fonte: governança; inserir fornecedor efetivo e CNPJ quando aplicável.</t>
      </text>
    </comment>
    <comment ref="E27" authorId="0" shapeId="0">
      <text>
        <t>Fonte: premissa inicial para as linhas carregadas; confirmar regime no documento e cadastro fiscal.</t>
      </text>
    </comment>
    <comment ref="F27" authorId="0" shapeId="0">
      <text>
        <t>Fonte: governança; inserir documento fiscal idôneo, chave ou referência de lote.</t>
      </text>
    </comment>
    <comment ref="G27" authorId="0" shapeId="0">
      <text>
        <t>Fonte: governança; inserir competência ou data de apropriação.</t>
      </text>
    </comment>
    <comment ref="H27" authorId="0" shapeId="0">
      <text>
        <t>Fonte: linha reservada para cadastro real de documentos de obra.</t>
      </text>
    </comment>
    <comment ref="A28" authorId="0" shapeId="0">
      <text>
        <t>Fonte: registro interno do modelo; substituir pelo identificador do documento ou lote de documentos.</t>
      </text>
    </comment>
    <comment ref="B28" authorId="0" shapeId="0">
      <text>
        <t>Fonte: classificação do registro; confirmar se é obra ou despesa.</t>
      </text>
    </comment>
    <comment ref="C28" authorId="0" shapeId="0">
      <text>
        <t>Fonte: premissas fornecidas pelo usuário para as cinco despesas iniciais; demais linhas são reservadas para cadastro.</t>
      </text>
    </comment>
    <comment ref="D28" authorId="0" shapeId="0">
      <text>
        <t>Fonte: governança; inserir fornecedor efetivo e CNPJ quando aplicável.</t>
      </text>
    </comment>
    <comment ref="E28" authorId="0" shapeId="0">
      <text>
        <t>Fonte: premissa inicial para as linhas carregadas; confirmar regime no documento e cadastro fiscal.</t>
      </text>
    </comment>
    <comment ref="F28" authorId="0" shapeId="0">
      <text>
        <t>Fonte: governança; inserir documento fiscal idôneo, chave ou referência de lote.</t>
      </text>
    </comment>
    <comment ref="G28" authorId="0" shapeId="0">
      <text>
        <t>Fonte: governança; inserir competência ou data de apropriação.</t>
      </text>
    </comment>
    <comment ref="H28" authorId="0" shapeId="0">
      <text>
        <t>Fonte: linha reservada para cadastro real de documentos de obra.</t>
      </text>
    </comment>
    <comment ref="A29" authorId="0" shapeId="0">
      <text>
        <t>Fonte: registro interno do modelo; substituir pelo identificador do documento ou lote de documentos.</t>
      </text>
    </comment>
    <comment ref="B29" authorId="0" shapeId="0">
      <text>
        <t>Fonte: classificação do registro; confirmar se é obra ou despesa.</t>
      </text>
    </comment>
    <comment ref="C29" authorId="0" shapeId="0">
      <text>
        <t>Fonte: premissas fornecidas pelo usuário para as cinco despesas iniciais; demais linhas são reservadas para cadastro.</t>
      </text>
    </comment>
    <comment ref="D29" authorId="0" shapeId="0">
      <text>
        <t>Fonte: governança; inserir fornecedor efetivo e CNPJ quando aplicável.</t>
      </text>
    </comment>
    <comment ref="E29" authorId="0" shapeId="0">
      <text>
        <t>Fonte: premissa inicial para as linhas carregadas; confirmar regime no documento e cadastro fiscal.</t>
      </text>
    </comment>
    <comment ref="F29" authorId="0" shapeId="0">
      <text>
        <t>Fonte: governança; inserir documento fiscal idôneo, chave ou referência de lote.</t>
      </text>
    </comment>
    <comment ref="G29" authorId="0" shapeId="0">
      <text>
        <t>Fonte: governança; inserir competência ou data de apropriação.</t>
      </text>
    </comment>
    <comment ref="H29" authorId="0" shapeId="0">
      <text>
        <t>Fonte: linha reservada para cadastro real de documentos de obra.</t>
      </text>
    </comment>
    <comment ref="A30" authorId="0" shapeId="0">
      <text>
        <t>Fonte: registro interno do modelo; substituir pelo identificador do documento ou lote de documentos.</t>
      </text>
    </comment>
    <comment ref="B30" authorId="0" shapeId="0">
      <text>
        <t>Fonte: classificação do registro; confirmar se é obra ou despesa.</t>
      </text>
    </comment>
    <comment ref="C30" authorId="0" shapeId="0">
      <text>
        <t>Fonte: premissas fornecidas pelo usuário para as cinco despesas iniciais; demais linhas são reservadas para cadastro.</t>
      </text>
    </comment>
    <comment ref="D30" authorId="0" shapeId="0">
      <text>
        <t>Fonte: governança; inserir fornecedor efetivo e CNPJ quando aplicável.</t>
      </text>
    </comment>
    <comment ref="E30" authorId="0" shapeId="0">
      <text>
        <t>Fonte: premissa inicial para as linhas carregadas; confirmar regime no documento e cadastro fiscal.</t>
      </text>
    </comment>
    <comment ref="F30" authorId="0" shapeId="0">
      <text>
        <t>Fonte: governança; inserir documento fiscal idôneo, chave ou referência de lote.</t>
      </text>
    </comment>
    <comment ref="G30" authorId="0" shapeId="0">
      <text>
        <t>Fonte: governança; inserir competência ou data de apropriação.</t>
      </text>
    </comment>
    <comment ref="H30" authorId="0" shapeId="0">
      <text>
        <t>Fonte: linha reservada para cadastro real de documentos de obra.</t>
      </text>
    </comment>
    <comment ref="A31" authorId="0" shapeId="0">
      <text>
        <t>Fonte: registro interno do modelo; substituir pelo identificador do documento ou lote de documentos.</t>
      </text>
    </comment>
    <comment ref="B31" authorId="0" shapeId="0">
      <text>
        <t>Fonte: classificação do registro; confirmar se é obra ou despesa.</t>
      </text>
    </comment>
    <comment ref="C31" authorId="0" shapeId="0">
      <text>
        <t>Fonte: premissas fornecidas pelo usuário para as cinco despesas iniciais; demais linhas são reservadas para cadastro.</t>
      </text>
    </comment>
    <comment ref="D31" authorId="0" shapeId="0">
      <text>
        <t>Fonte: governança; inserir fornecedor efetivo e CNPJ quando aplicável.</t>
      </text>
    </comment>
    <comment ref="E31" authorId="0" shapeId="0">
      <text>
        <t>Fonte: premissa inicial para as linhas carregadas; confirmar regime no documento e cadastro fiscal.</t>
      </text>
    </comment>
    <comment ref="F31" authorId="0" shapeId="0">
      <text>
        <t>Fonte: governança; inserir documento fiscal idôneo, chave ou referência de lote.</t>
      </text>
    </comment>
    <comment ref="G31" authorId="0" shapeId="0">
      <text>
        <t>Fonte: governança; inserir competência ou data de apropriação.</t>
      </text>
    </comment>
    <comment ref="H31" authorId="0" shapeId="0">
      <text>
        <t>Fonte: linha reservada para cadastro real de documentos de obra.</t>
      </text>
    </comment>
    <comment ref="A32" authorId="0" shapeId="0">
      <text>
        <t>Fonte: registro interno do modelo; substituir pelo identificador do documento ou lote de documentos.</t>
      </text>
    </comment>
    <comment ref="B32" authorId="0" shapeId="0">
      <text>
        <t>Fonte: classificação do registro; confirmar se é obra ou despesa.</t>
      </text>
    </comment>
    <comment ref="C32" authorId="0" shapeId="0">
      <text>
        <t>Fonte: premissas fornecidas pelo usuário para as cinco despesas iniciais; demais linhas são reservadas para cadastro.</t>
      </text>
    </comment>
    <comment ref="D32" authorId="0" shapeId="0">
      <text>
        <t>Fonte: governança; inserir fornecedor efetivo e CNPJ quando aplicável.</t>
      </text>
    </comment>
    <comment ref="E32" authorId="0" shapeId="0">
      <text>
        <t>Fonte: premissa inicial para as linhas carregadas; confirmar regime no documento e cadastro fiscal.</t>
      </text>
    </comment>
    <comment ref="F32" authorId="0" shapeId="0">
      <text>
        <t>Fonte: governança; inserir documento fiscal idôneo, chave ou referência de lote.</t>
      </text>
    </comment>
    <comment ref="G32" authorId="0" shapeId="0">
      <text>
        <t>Fonte: governança; inserir competência ou data de apropriação.</t>
      </text>
    </comment>
    <comment ref="H32" authorId="0" shapeId="0">
      <text>
        <t>Fonte: linha reservada para cadastro real de documentos de obra.</t>
      </text>
    </comment>
    <comment ref="A37" authorId="0" shapeId="0">
      <text>
        <t>Fonte: controle interno; substituir pelo identificador do ativo ou terreno.</t>
      </text>
    </comment>
    <comment ref="B37" authorId="0" shapeId="0">
      <text>
        <t>Fonte: governança; inserir matrícula, ativo ou identificação do terreno.</t>
      </text>
    </comment>
    <comment ref="C37" authorId="0" shapeId="0">
      <text>
        <t>Fonte: governança; indicar custo histórico, valor justo ou fundamento aplicável.</t>
      </text>
    </comment>
    <comment ref="D37" authorId="0" shapeId="0">
      <text>
        <t>Fonte: governança; indicar data-base do valor.</t>
      </text>
    </comment>
    <comment ref="E37" authorId="0" shapeId="0">
      <text>
        <t>Fonte: governança; indicar escritura, contrato, laudo ou documento equivalente.</t>
      </text>
    </comment>
    <comment ref="F37" authorId="0" shapeId="0">
      <text>
        <t>Fonte: linha reservada para cadastro documental de RAJ.</t>
      </text>
    </comment>
    <comment ref="G37" authorId="0" shapeId="0">
      <text>
        <t>Fonte: linha reservada para cadastro documental de RAJ.</t>
      </text>
    </comment>
    <comment ref="A38" authorId="0" shapeId="0">
      <text>
        <t>Fonte: controle interno; substituir pelo identificador do ativo ou terreno.</t>
      </text>
    </comment>
    <comment ref="B38" authorId="0" shapeId="0">
      <text>
        <t>Fonte: governança; inserir matrícula, ativo ou identificação do terreno.</t>
      </text>
    </comment>
    <comment ref="C38" authorId="0" shapeId="0">
      <text>
        <t>Fonte: governança; indicar custo histórico, valor justo ou fundamento aplicável.</t>
      </text>
    </comment>
    <comment ref="D38" authorId="0" shapeId="0">
      <text>
        <t>Fonte: governança; indicar data-base do valor.</t>
      </text>
    </comment>
    <comment ref="E38" authorId="0" shapeId="0">
      <text>
        <t>Fonte: governança; indicar escritura, contrato, laudo ou documento equivalente.</t>
      </text>
    </comment>
    <comment ref="F38" authorId="0" shapeId="0">
      <text>
        <t>Fonte: linha reservada para cadastro documental de RAJ.</t>
      </text>
    </comment>
    <comment ref="G38" authorId="0" shapeId="0">
      <text>
        <t>Fonte: linha reservada para cadastro documental de RAJ.</t>
      </text>
    </comment>
    <comment ref="H38" authorId="0" shapeId="0">
      <text>
        <t>Fonte: linha reservada para cadastro documental de RAJ.</t>
      </text>
    </comment>
    <comment ref="A39" authorId="0" shapeId="0">
      <text>
        <t>Fonte: controle interno; substituir pelo identificador do ativo ou terreno.</t>
      </text>
    </comment>
    <comment ref="B39" authorId="0" shapeId="0">
      <text>
        <t>Fonte: governança; inserir matrícula, ativo ou identificação do terreno.</t>
      </text>
    </comment>
    <comment ref="C39" authorId="0" shapeId="0">
      <text>
        <t>Fonte: governança; indicar custo histórico, valor justo ou fundamento aplicável.</t>
      </text>
    </comment>
    <comment ref="D39" authorId="0" shapeId="0">
      <text>
        <t>Fonte: governança; indicar data-base do valor.</t>
      </text>
    </comment>
    <comment ref="E39" authorId="0" shapeId="0">
      <text>
        <t>Fonte: governança; indicar escritura, contrato, laudo ou documento equivalente.</t>
      </text>
    </comment>
    <comment ref="F39" authorId="0" shapeId="0">
      <text>
        <t>Fonte: linha reservada para cadastro documental de RAJ.</t>
      </text>
    </comment>
    <comment ref="G39" authorId="0" shapeId="0">
      <text>
        <t>Fonte: linha reservada para cadastro documental de RAJ.</t>
      </text>
    </comment>
    <comment ref="H39" authorId="0" shapeId="0">
      <text>
        <t>Fonte: linha reservada para cadastro documental de RAJ.</t>
      </text>
    </comment>
    <comment ref="A40" authorId="0" shapeId="0">
      <text>
        <t>Fonte: controle interno; substituir pelo identificador do ativo ou terreno.</t>
      </text>
    </comment>
    <comment ref="B40" authorId="0" shapeId="0">
      <text>
        <t>Fonte: governança; inserir matrícula, ativo ou identificação do terreno.</t>
      </text>
    </comment>
    <comment ref="C40" authorId="0" shapeId="0">
      <text>
        <t>Fonte: governança; indicar custo histórico, valor justo ou fundamento aplicável.</t>
      </text>
    </comment>
    <comment ref="D40" authorId="0" shapeId="0">
      <text>
        <t>Fonte: governança; indicar data-base do valor.</t>
      </text>
    </comment>
    <comment ref="E40" authorId="0" shapeId="0">
      <text>
        <t>Fonte: governança; indicar escritura, contrato, laudo ou documento equivalente.</t>
      </text>
    </comment>
    <comment ref="F40" authorId="0" shapeId="0">
      <text>
        <t>Fonte: linha reservada para cadastro documental de RAJ.</t>
      </text>
    </comment>
    <comment ref="G40" authorId="0" shapeId="0">
      <text>
        <t>Fonte: linha reservada para cadastro documental de RAJ.</t>
      </text>
    </comment>
    <comment ref="H40" authorId="0" shapeId="0">
      <text>
        <t>Fonte: linha reservada para cadastro documental de RAJ.</t>
      </text>
    </comment>
    <comment ref="A41" authorId="0" shapeId="0">
      <text>
        <t>Fonte: controle interno; substituir pelo identificador do ativo ou terreno.</t>
      </text>
    </comment>
    <comment ref="B41" authorId="0" shapeId="0">
      <text>
        <t>Fonte: governança; inserir matrícula, ativo ou identificação do terreno.</t>
      </text>
    </comment>
    <comment ref="C41" authorId="0" shapeId="0">
      <text>
        <t>Fonte: governança; indicar custo histórico, valor justo ou fundamento aplicável.</t>
      </text>
    </comment>
    <comment ref="D41" authorId="0" shapeId="0">
      <text>
        <t>Fonte: governança; indicar data-base do valor.</t>
      </text>
    </comment>
    <comment ref="E41" authorId="0" shapeId="0">
      <text>
        <t>Fonte: governança; indicar escritura, contrato, laudo ou documento equivalente.</t>
      </text>
    </comment>
    <comment ref="F41" authorId="0" shapeId="0">
      <text>
        <t>Fonte: linha reservada para cadastro documental de RAJ.</t>
      </text>
    </comment>
    <comment ref="G41" authorId="0" shapeId="0">
      <text>
        <t>Fonte: linha reservada para cadastro documental de RAJ.</t>
      </text>
    </comment>
    <comment ref="H41" authorId="0" shapeId="0">
      <text>
        <t>Fonte: linha reservada para cadastro documental de RAJ.</t>
      </text>
    </comment>
    <comment ref="A42" authorId="0" shapeId="0">
      <text>
        <t>Fonte: controle interno; substituir pelo identificador do ativo ou terreno.</t>
      </text>
    </comment>
    <comment ref="B42" authorId="0" shapeId="0">
      <text>
        <t>Fonte: governança; inserir matrícula, ativo ou identificação do terreno.</t>
      </text>
    </comment>
    <comment ref="C42" authorId="0" shapeId="0">
      <text>
        <t>Fonte: governança; indicar custo histórico, valor justo ou fundamento aplicável.</t>
      </text>
    </comment>
    <comment ref="D42" authorId="0" shapeId="0">
      <text>
        <t>Fonte: governança; indicar data-base do valor.</t>
      </text>
    </comment>
    <comment ref="E42" authorId="0" shapeId="0">
      <text>
        <t>Fonte: governança; indicar escritura, contrato, laudo ou documento equivalente.</t>
      </text>
    </comment>
    <comment ref="F42" authorId="0" shapeId="0">
      <text>
        <t>Fonte: linha reservada para cadastro documental de RAJ.</t>
      </text>
    </comment>
    <comment ref="G42" authorId="0" shapeId="0">
      <text>
        <t>Fonte: linha reservada para cadastro documental de RAJ.</t>
      </text>
    </comment>
    <comment ref="H42" authorId="0" shapeId="0">
      <text>
        <t>Fonte: linha reservada para cadastro documental de RAJ.</t>
      </text>
    </comment>
    <comment ref="A43" authorId="0" shapeId="0">
      <text>
        <t>Fonte: controle interno; substituir pelo identificador do ativo ou terreno.</t>
      </text>
    </comment>
    <comment ref="B43" authorId="0" shapeId="0">
      <text>
        <t>Fonte: governança; inserir matrícula, ativo ou identificação do terreno.</t>
      </text>
    </comment>
    <comment ref="C43" authorId="0" shapeId="0">
      <text>
        <t>Fonte: governança; indicar custo histórico, valor justo ou fundamento aplicável.</t>
      </text>
    </comment>
    <comment ref="D43" authorId="0" shapeId="0">
      <text>
        <t>Fonte: governança; indicar data-base do valor.</t>
      </text>
    </comment>
    <comment ref="E43" authorId="0" shapeId="0">
      <text>
        <t>Fonte: governança; indicar escritura, contrato, laudo ou documento equivalente.</t>
      </text>
    </comment>
    <comment ref="F43" authorId="0" shapeId="0">
      <text>
        <t>Fonte: linha reservada para cadastro documental de RAJ.</t>
      </text>
    </comment>
    <comment ref="G43" authorId="0" shapeId="0">
      <text>
        <t>Fonte: linha reservada para cadastro documental de RAJ.</t>
      </text>
    </comment>
    <comment ref="H43" authorId="0" shapeId="0">
      <text>
        <t>Fonte: linha reservada para cadastro documental de RAJ.</t>
      </text>
    </comment>
    <comment ref="A44" authorId="0" shapeId="0">
      <text>
        <t>Fonte: controle interno; substituir pelo identificador do ativo ou terreno.</t>
      </text>
    </comment>
    <comment ref="B44" authorId="0" shapeId="0">
      <text>
        <t>Fonte: governança; inserir matrícula, ativo ou identificação do terreno.</t>
      </text>
    </comment>
    <comment ref="C44" authorId="0" shapeId="0">
      <text>
        <t>Fonte: governança; indicar custo histórico, valor justo ou fundamento aplicável.</t>
      </text>
    </comment>
    <comment ref="D44" authorId="0" shapeId="0">
      <text>
        <t>Fonte: governança; indicar data-base do valor.</t>
      </text>
    </comment>
    <comment ref="E44" authorId="0" shapeId="0">
      <text>
        <t>Fonte: governança; indicar escritura, contrato, laudo ou documento equivalente.</t>
      </text>
    </comment>
    <comment ref="F44" authorId="0" shapeId="0">
      <text>
        <t>Fonte: linha reservada para cadastro documental de RAJ.</t>
      </text>
    </comment>
    <comment ref="G44" authorId="0" shapeId="0">
      <text>
        <t>Fonte: linha reservada para cadastro documental de RAJ.</t>
      </text>
    </comment>
    <comment ref="H44" authorId="0" shapeId="0">
      <text>
        <t>Fonte: linha reservada para cadastro documental de RAJ.</t>
      </text>
    </comment>
    <comment ref="A45" authorId="0" shapeId="0">
      <text>
        <t>Fonte: controle interno; substituir pelo identificador do ativo ou terreno.</t>
      </text>
    </comment>
    <comment ref="B45" authorId="0" shapeId="0">
      <text>
        <t>Fonte: governança; inserir matrícula, ativo ou identificação do terreno.</t>
      </text>
    </comment>
    <comment ref="C45" authorId="0" shapeId="0">
      <text>
        <t>Fonte: governança; indicar custo histórico, valor justo ou fundamento aplicável.</t>
      </text>
    </comment>
    <comment ref="D45" authorId="0" shapeId="0">
      <text>
        <t>Fonte: governança; indicar data-base do valor.</t>
      </text>
    </comment>
    <comment ref="E45" authorId="0" shapeId="0">
      <text>
        <t>Fonte: governança; indicar escritura, contrato, laudo ou documento equivalente.</t>
      </text>
    </comment>
    <comment ref="F45" authorId="0" shapeId="0">
      <text>
        <t>Fonte: linha reservada para cadastro documental de RAJ.</t>
      </text>
    </comment>
    <comment ref="G45" authorId="0" shapeId="0">
      <text>
        <t>Fonte: linha reservada para cadastro documental de RAJ.</t>
      </text>
    </comment>
    <comment ref="H45" authorId="0" shapeId="0">
      <text>
        <t>Fonte: linha reservada para cadastro documental de RAJ.</t>
      </text>
    </comment>
    <comment ref="A46" authorId="0" shapeId="0">
      <text>
        <t>Fonte: controle interno; substituir pelo identificador do ativo ou terreno.</t>
      </text>
    </comment>
    <comment ref="B46" authorId="0" shapeId="0">
      <text>
        <t>Fonte: governança; inserir matrícula, ativo ou identificação do terreno.</t>
      </text>
    </comment>
    <comment ref="C46" authorId="0" shapeId="0">
      <text>
        <t>Fonte: governança; indicar custo histórico, valor justo ou fundamento aplicável.</t>
      </text>
    </comment>
    <comment ref="D46" authorId="0" shapeId="0">
      <text>
        <t>Fonte: governança; indicar data-base do valor.</t>
      </text>
    </comment>
    <comment ref="E46" authorId="0" shapeId="0">
      <text>
        <t>Fonte: governança; indicar escritura, contrato, laudo ou documento equivalente.</t>
      </text>
    </comment>
    <comment ref="F46" authorId="0" shapeId="0">
      <text>
        <t>Fonte: linha reservada para cadastro documental de RAJ.</t>
      </text>
    </comment>
    <comment ref="G46" authorId="0" shapeId="0">
      <text>
        <t>Fonte: linha reservada para cadastro documental de RAJ.</t>
      </text>
    </comment>
    <comment ref="H46" authorId="0" shapeId="0">
      <text>
        <t>Fonte: linha reservada para cadastro documental de RAJ.</t>
      </text>
    </comment>
    <comment ref="A47" authorId="0" shapeId="0">
      <text>
        <t>Fonte: controle interno; substituir pelo identificador do ativo ou terreno.</t>
      </text>
    </comment>
    <comment ref="B47" authorId="0" shapeId="0">
      <text>
        <t>Fonte: governança; inserir matrícula, ativo ou identificação do terreno.</t>
      </text>
    </comment>
    <comment ref="C47" authorId="0" shapeId="0">
      <text>
        <t>Fonte: governança; indicar custo histórico, valor justo ou fundamento aplicável.</t>
      </text>
    </comment>
    <comment ref="D47" authorId="0" shapeId="0">
      <text>
        <t>Fonte: governança; indicar data-base do valor.</t>
      </text>
    </comment>
    <comment ref="E47" authorId="0" shapeId="0">
      <text>
        <t>Fonte: governança; indicar escritura, contrato, laudo ou documento equivalente.</t>
      </text>
    </comment>
    <comment ref="F47" authorId="0" shapeId="0">
      <text>
        <t>Fonte: linha reservada para cadastro documental de RAJ.</t>
      </text>
    </comment>
    <comment ref="G47" authorId="0" shapeId="0">
      <text>
        <t>Fonte: linha reservada para cadastro documental de RAJ.</t>
      </text>
    </comment>
    <comment ref="H47" authorId="0" shapeId="0">
      <text>
        <t>Fonte: linha reservada para cadastro documental de RAJ.</t>
      </text>
    </comment>
    <comment ref="A48" authorId="0" shapeId="0">
      <text>
        <t>Fonte: controle interno; substituir pelo identificador do ativo ou terreno.</t>
      </text>
    </comment>
    <comment ref="B48" authorId="0" shapeId="0">
      <text>
        <t>Fonte: governança; inserir matrícula, ativo ou identificação do terreno.</t>
      </text>
    </comment>
    <comment ref="C48" authorId="0" shapeId="0">
      <text>
        <t>Fonte: governança; indicar custo histórico, valor justo ou fundamento aplicável.</t>
      </text>
    </comment>
    <comment ref="D48" authorId="0" shapeId="0">
      <text>
        <t>Fonte: governança; indicar data-base do valor.</t>
      </text>
    </comment>
    <comment ref="E48" authorId="0" shapeId="0">
      <text>
        <t>Fonte: governança; indicar escritura, contrato, laudo ou documento equivalente.</t>
      </text>
    </comment>
    <comment ref="F48" authorId="0" shapeId="0">
      <text>
        <t>Fonte: linha reservada para cadastro documental de RAJ.</t>
      </text>
    </comment>
    <comment ref="G48" authorId="0" shapeId="0">
      <text>
        <t>Fonte: linha reservada para cadastro documental de RAJ.</t>
      </text>
    </comment>
    <comment ref="H48" authorId="0" shapeId="0">
      <text>
        <t>Fonte: linha reservada para cadastro documental de RAJ.</t>
      </text>
    </comment>
    <comment ref="A49" authorId="0" shapeId="0">
      <text>
        <t>Fonte: controle interno; substituir pelo identificador do ativo ou terreno.</t>
      </text>
    </comment>
    <comment ref="B49" authorId="0" shapeId="0">
      <text>
        <t>Fonte: governança; inserir matrícula, ativo ou identificação do terreno.</t>
      </text>
    </comment>
    <comment ref="C49" authorId="0" shapeId="0">
      <text>
        <t>Fonte: governança; indicar custo histórico, valor justo ou fundamento aplicável.</t>
      </text>
    </comment>
    <comment ref="D49" authorId="0" shapeId="0">
      <text>
        <t>Fonte: governança; indicar data-base do valor.</t>
      </text>
    </comment>
    <comment ref="E49" authorId="0" shapeId="0">
      <text>
        <t>Fonte: governança; indicar escritura, contrato, laudo ou documento equivalente.</t>
      </text>
    </comment>
    <comment ref="F49" authorId="0" shapeId="0">
      <text>
        <t>Fonte: linha reservada para cadastro documental de RAJ.</t>
      </text>
    </comment>
    <comment ref="G49" authorId="0" shapeId="0">
      <text>
        <t>Fonte: linha reservada para cadastro documental de RAJ.</t>
      </text>
    </comment>
    <comment ref="H49" authorId="0" shapeId="0">
      <text>
        <t>Fonte: linha reservada para cadastro documental de RAJ.</t>
      </text>
    </comment>
    <comment ref="A50" authorId="0" shapeId="0">
      <text>
        <t>Fonte: controle interno; substituir pelo identificador do ativo ou terreno.</t>
      </text>
    </comment>
    <comment ref="B50" authorId="0" shapeId="0">
      <text>
        <t>Fonte: governança; inserir matrícula, ativo ou identificação do terreno.</t>
      </text>
    </comment>
    <comment ref="C50" authorId="0" shapeId="0">
      <text>
        <t>Fonte: governança; indicar custo histórico, valor justo ou fundamento aplicável.</t>
      </text>
    </comment>
    <comment ref="D50" authorId="0" shapeId="0">
      <text>
        <t>Fonte: governança; indicar data-base do valor.</t>
      </text>
    </comment>
    <comment ref="E50" authorId="0" shapeId="0">
      <text>
        <t>Fonte: governança; indicar escritura, contrato, laudo ou documento equivalente.</t>
      </text>
    </comment>
    <comment ref="F50" authorId="0" shapeId="0">
      <text>
        <t>Fonte: linha reservada para cadastro documental de RAJ.</t>
      </text>
    </comment>
    <comment ref="G50" authorId="0" shapeId="0">
      <text>
        <t>Fonte: linha reservada para cadastro documental de RAJ.</t>
      </text>
    </comment>
    <comment ref="H50" authorId="0" shapeId="0">
      <text>
        <t>Fonte: linha reservada para cadastro documental de RAJ.</t>
      </text>
    </comment>
    <comment ref="A51" authorId="0" shapeId="0">
      <text>
        <t>Fonte: controle interno; substituir pelo identificador do ativo ou terreno.</t>
      </text>
    </comment>
    <comment ref="B51" authorId="0" shapeId="0">
      <text>
        <t>Fonte: governança; inserir matrícula, ativo ou identificação do terreno.</t>
      </text>
    </comment>
    <comment ref="C51" authorId="0" shapeId="0">
      <text>
        <t>Fonte: governança; indicar custo histórico, valor justo ou fundamento aplicável.</t>
      </text>
    </comment>
    <comment ref="D51" authorId="0" shapeId="0">
      <text>
        <t>Fonte: governança; indicar data-base do valor.</t>
      </text>
    </comment>
    <comment ref="E51" authorId="0" shapeId="0">
      <text>
        <t>Fonte: governança; indicar escritura, contrato, laudo ou documento equivalente.</t>
      </text>
    </comment>
    <comment ref="F51" authorId="0" shapeId="0">
      <text>
        <t>Fonte: linha reservada para cadastro documental de RAJ.</t>
      </text>
    </comment>
    <comment ref="G51" authorId="0" shapeId="0">
      <text>
        <t>Fonte: linha reservada para cadastro documental de RAJ.</t>
      </text>
    </comment>
    <comment ref="H51" authorId="0" shapeId="0">
      <text>
        <t>Fonte: linha reservada para cadastro documental de RAJ.</t>
      </text>
    </comment>
    <comment ref="A52" authorId="0" shapeId="0">
      <text>
        <t>Fonte: controle interno; substituir pelo identificador do ativo ou terreno.</t>
      </text>
    </comment>
    <comment ref="B52" authorId="0" shapeId="0">
      <text>
        <t>Fonte: governança; inserir matrícula, ativo ou identificação do terreno.</t>
      </text>
    </comment>
    <comment ref="C52" authorId="0" shapeId="0">
      <text>
        <t>Fonte: governança; indicar custo histórico, valor justo ou fundamento aplicável.</t>
      </text>
    </comment>
    <comment ref="D52" authorId="0" shapeId="0">
      <text>
        <t>Fonte: governança; indicar data-base do valor.</t>
      </text>
    </comment>
    <comment ref="E52" authorId="0" shapeId="0">
      <text>
        <t>Fonte: governança; indicar escritura, contrato, laudo ou documento equivalente.</t>
      </text>
    </comment>
    <comment ref="F52" authorId="0" shapeId="0">
      <text>
        <t>Fonte: linha reservada para cadastro documental de RAJ.</t>
      </text>
    </comment>
    <comment ref="G52" authorId="0" shapeId="0">
      <text>
        <t>Fonte: linha reservada para cadastro documental de RAJ.</t>
      </text>
    </comment>
    <comment ref="H52" authorId="0" shapeId="0">
      <text>
        <t>Fonte: linha reservada para cadastro documental de RAJ.</t>
      </text>
    </comment>
    <comment ref="A53" authorId="0" shapeId="0">
      <text>
        <t>Fonte: controle interno; substituir pelo identificador do ativo ou terreno.</t>
      </text>
    </comment>
    <comment ref="B53" authorId="0" shapeId="0">
      <text>
        <t>Fonte: governança; inserir matrícula, ativo ou identificação do terreno.</t>
      </text>
    </comment>
    <comment ref="C53" authorId="0" shapeId="0">
      <text>
        <t>Fonte: governança; indicar custo histórico, valor justo ou fundamento aplicável.</t>
      </text>
    </comment>
    <comment ref="D53" authorId="0" shapeId="0">
      <text>
        <t>Fonte: governança; indicar data-base do valor.</t>
      </text>
    </comment>
    <comment ref="E53" authorId="0" shapeId="0">
      <text>
        <t>Fonte: governança; indicar escritura, contrato, laudo ou documento equivalente.</t>
      </text>
    </comment>
    <comment ref="F53" authorId="0" shapeId="0">
      <text>
        <t>Fonte: linha reservada para cadastro documental de RAJ.</t>
      </text>
    </comment>
    <comment ref="G53" authorId="0" shapeId="0">
      <text>
        <t>Fonte: linha reservada para cadastro documental de RAJ.</t>
      </text>
    </comment>
    <comment ref="H53" authorId="0" shapeId="0">
      <text>
        <t>Fonte: linha reservada para cadastro documental de RAJ.</t>
      </text>
    </comment>
    <comment ref="A54" authorId="0" shapeId="0">
      <text>
        <t>Fonte: controle interno; substituir pelo identificador do ativo ou terreno.</t>
      </text>
    </comment>
    <comment ref="B54" authorId="0" shapeId="0">
      <text>
        <t>Fonte: governança; inserir matrícula, ativo ou identificação do terreno.</t>
      </text>
    </comment>
    <comment ref="C54" authorId="0" shapeId="0">
      <text>
        <t>Fonte: governança; indicar custo histórico, valor justo ou fundamento aplicável.</t>
      </text>
    </comment>
    <comment ref="D54" authorId="0" shapeId="0">
      <text>
        <t>Fonte: governança; indicar data-base do valor.</t>
      </text>
    </comment>
    <comment ref="E54" authorId="0" shapeId="0">
      <text>
        <t>Fonte: governança; indicar escritura, contrato, laudo ou documento equivalente.</t>
      </text>
    </comment>
    <comment ref="F54" authorId="0" shapeId="0">
      <text>
        <t>Fonte: linha reservada para cadastro documental de RAJ.</t>
      </text>
    </comment>
    <comment ref="G54" authorId="0" shapeId="0">
      <text>
        <t>Fonte: linha reservada para cadastro documental de RAJ.</t>
      </text>
    </comment>
    <comment ref="H54" authorId="0" shapeId="0">
      <text>
        <t>Fonte: linha reservada para cadastro documental de RAJ.</t>
      </text>
    </comment>
    <comment ref="A55" authorId="0" shapeId="0">
      <text>
        <t>Fonte: controle interno; substituir pelo identificador do ativo ou terreno.</t>
      </text>
    </comment>
    <comment ref="B55" authorId="0" shapeId="0">
      <text>
        <t>Fonte: governança; inserir matrícula, ativo ou identificação do terreno.</t>
      </text>
    </comment>
    <comment ref="C55" authorId="0" shapeId="0">
      <text>
        <t>Fonte: governança; indicar custo histórico, valor justo ou fundamento aplicável.</t>
      </text>
    </comment>
    <comment ref="D55" authorId="0" shapeId="0">
      <text>
        <t>Fonte: governança; indicar data-base do valor.</t>
      </text>
    </comment>
    <comment ref="E55" authorId="0" shapeId="0">
      <text>
        <t>Fonte: governança; indicar escritura, contrato, laudo ou documento equivalente.</t>
      </text>
    </comment>
    <comment ref="F55" authorId="0" shapeId="0">
      <text>
        <t>Fonte: linha reservada para cadastro documental de RAJ.</t>
      </text>
    </comment>
    <comment ref="G55" authorId="0" shapeId="0">
      <text>
        <t>Fonte: linha reservada para cadastro documental de RAJ.</t>
      </text>
    </comment>
    <comment ref="H55" authorId="0" shapeId="0">
      <text>
        <t>Fonte: linha reservada para cadastro documental de RAJ.</t>
      </text>
    </comment>
    <comment ref="A56" authorId="0" shapeId="0">
      <text>
        <t>Fonte: controle interno; substituir pelo identificador do ativo ou terreno.</t>
      </text>
    </comment>
    <comment ref="B56" authorId="0" shapeId="0">
      <text>
        <t>Fonte: governança; inserir matrícula, ativo ou identificação do terreno.</t>
      </text>
    </comment>
    <comment ref="C56" authorId="0" shapeId="0">
      <text>
        <t>Fonte: governança; indicar custo histórico, valor justo ou fundamento aplicável.</t>
      </text>
    </comment>
    <comment ref="D56" authorId="0" shapeId="0">
      <text>
        <t>Fonte: governança; indicar data-base do valor.</t>
      </text>
    </comment>
    <comment ref="E56" authorId="0" shapeId="0">
      <text>
        <t>Fonte: governança; indicar escritura, contrato, laudo ou documento equivalente.</t>
      </text>
    </comment>
    <comment ref="F56" authorId="0" shapeId="0">
      <text>
        <t>Fonte: linha reservada para cadastro documental de RAJ.</t>
      </text>
    </comment>
    <comment ref="G56" authorId="0" shapeId="0">
      <text>
        <t>Fonte: linha reservada para cadastro documental de RAJ.</t>
      </text>
    </comment>
    <comment ref="H56" authorId="0" shapeId="0">
      <text>
        <t>Fonte: linha reservada para cadastro documental de RAJ.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C8" authorId="0" shapeId="0">
      <text>
        <t>Fonte: decisão de uso. “Alíquota plena — sensibilidade” preserva o modelo econômico original; “Transição temporal” usa a tabela anual e exige todas as alíquotas carregadas.</t>
      </text>
    </comment>
    <comment ref="C9" authorId="0" shapeId="0">
      <text>
        <t>Fonte: governança; inserir nome do responsável tributário.</t>
      </text>
    </comment>
    <comment ref="C10" authorId="0" shapeId="0">
      <text>
        <t>Fonte: governança; inserir nome do revisor independente.</t>
      </text>
    </comment>
    <comment ref="C11" authorId="0" shapeId="0">
      <text>
        <t>Fonte: data de criação desta versão consultiva; atualizar na revisão.</t>
      </text>
    </comment>
    <comment ref="C12" authorId="0" shapeId="0">
      <text>
        <t>Fonte: premissas fornecidas pelo usuário; substituir pelo cliente e projeto efetivos.</t>
      </text>
    </comment>
    <comment ref="D20" authorId="0" shapeId="0">
      <text>
        <t>Fonte oficial indicada na matriz normativa; manter versão e acesso controlados.</t>
      </text>
    </comment>
    <comment ref="E20" authorId="0" shapeId="0">
      <text>
        <t>Fonte: data desta avaliação; atualizar quando houver revisão normativa.</t>
      </text>
    </comment>
    <comment ref="G20" authorId="0" shapeId="0">
      <text>
        <t>Fonte: governança; marcar OK somente após revisão do responsável tributário.</t>
      </text>
    </comment>
    <comment ref="H20" authorId="0" shapeId="0">
      <text>
        <t>Fonte: governança; inserir responsável pela revisão do item.</t>
      </text>
    </comment>
    <comment ref="D21" authorId="0" shapeId="0">
      <text>
        <t>Fonte oficial indicada na matriz normativa; manter versão e acesso controlados.</t>
      </text>
    </comment>
    <comment ref="E21" authorId="0" shapeId="0">
      <text>
        <t>Fonte: data desta avaliação; atualizar quando houver revisão normativa.</t>
      </text>
    </comment>
    <comment ref="G21" authorId="0" shapeId="0">
      <text>
        <t>Fonte: governança; marcar OK somente após revisão do responsável tributário.</t>
      </text>
    </comment>
    <comment ref="H21" authorId="0" shapeId="0">
      <text>
        <t>Fonte: governança; inserir responsável pela revisão do item.</t>
      </text>
    </comment>
    <comment ref="D22" authorId="0" shapeId="0">
      <text>
        <t>Fonte oficial indicada na matriz normativa; manter versão e acesso controlados.</t>
      </text>
    </comment>
    <comment ref="E22" authorId="0" shapeId="0">
      <text>
        <t>Fonte: data desta avaliação; atualizar quando houver revisão normativa.</t>
      </text>
    </comment>
    <comment ref="G22" authorId="0" shapeId="0">
      <text>
        <t>Fonte: governança; marcar OK somente após revisão do responsável tributário.</t>
      </text>
    </comment>
    <comment ref="H22" authorId="0" shapeId="0">
      <text>
        <t>Fonte: governança; inserir responsável pela revisão do item.</t>
      </text>
    </comment>
    <comment ref="D23" authorId="0" shapeId="0">
      <text>
        <t>Fonte oficial indicada na matriz normativa; manter versão e acesso controlados.</t>
      </text>
    </comment>
    <comment ref="E23" authorId="0" shapeId="0">
      <text>
        <t>Fonte: data desta avaliação; atualizar quando houver revisão normativa.</t>
      </text>
    </comment>
    <comment ref="G23" authorId="0" shapeId="0">
      <text>
        <t>Fonte: governança; marcar OK somente após revisão do responsável tributário.</t>
      </text>
    </comment>
    <comment ref="H23" authorId="0" shapeId="0">
      <text>
        <t>Fonte: governança; inserir responsável pela revisão do item.</t>
      </text>
    </comment>
    <comment ref="D24" authorId="0" shapeId="0">
      <text>
        <t>Fonte oficial indicada na matriz normativa; manter versão e acesso controlados.</t>
      </text>
    </comment>
    <comment ref="E24" authorId="0" shapeId="0">
      <text>
        <t>Fonte: data desta avaliação; atualizar quando houver revisão normativa.</t>
      </text>
    </comment>
    <comment ref="G24" authorId="0" shapeId="0">
      <text>
        <t>Fonte: governança; marcar OK somente após revisão do responsável tributário.</t>
      </text>
    </comment>
    <comment ref="H24" authorId="0" shapeId="0">
      <text>
        <t>Fonte: governança; inserir responsável pela revisão do item.</t>
      </text>
    </comment>
    <comment ref="D25" authorId="0" shapeId="0">
      <text>
        <t>Fonte oficial indicada na matriz normativa; manter versão e acesso controlados.</t>
      </text>
    </comment>
    <comment ref="E25" authorId="0" shapeId="0">
      <text>
        <t>Fonte: data desta avaliação; atualizar quando houver revisão normativa.</t>
      </text>
    </comment>
    <comment ref="G25" authorId="0" shapeId="0">
      <text>
        <t>Fonte: governança; marcar OK somente após revisão do responsável tributário.</t>
      </text>
    </comment>
    <comment ref="H25" authorId="0" shapeId="0">
      <text>
        <t>Fonte: governança; inserir responsável pela revisão do item.</t>
      </text>
    </comment>
    <comment ref="D26" authorId="0" shapeId="0">
      <text>
        <t>Fonte oficial indicada na matriz normativa; manter versão e acesso controlados.</t>
      </text>
    </comment>
    <comment ref="E26" authorId="0" shapeId="0">
      <text>
        <t>Fonte: data desta avaliação; atualizar quando houver revisão normativa.</t>
      </text>
    </comment>
    <comment ref="G26" authorId="0" shapeId="0">
      <text>
        <t>Fonte: governança; marcar OK somente após revisão do responsável tributário.</t>
      </text>
    </comment>
    <comment ref="H26" authorId="0" shapeId="0">
      <text>
        <t>Fonte: governança; inserir responsável pela revisão do item.</t>
      </text>
    </comment>
    <comment ref="D27" authorId="0" shapeId="0">
      <text>
        <t>Fonte oficial indicada na matriz normativa; manter versão e acesso controlados.</t>
      </text>
    </comment>
    <comment ref="E27" authorId="0" shapeId="0">
      <text>
        <t>Fonte: data desta avaliação; atualizar quando houver revisão normativa.</t>
      </text>
    </comment>
    <comment ref="G27" authorId="0" shapeId="0">
      <text>
        <t>Fonte: governança; marcar OK somente após revisão do responsável tributário.</t>
      </text>
    </comment>
    <comment ref="H27" authorId="0" shapeId="0">
      <text>
        <t>Fonte: governança; inserir responsável pela revisão do item.</t>
      </text>
    </comment>
    <comment ref="D28" authorId="0" shapeId="0">
      <text>
        <t>Fonte oficial indicada na matriz normativa; manter versão e acesso controlados.</t>
      </text>
    </comment>
    <comment ref="E28" authorId="0" shapeId="0">
      <text>
        <t>Fonte: data desta avaliação; atualizar quando houver revisão normativa.</t>
      </text>
    </comment>
    <comment ref="G28" authorId="0" shapeId="0">
      <text>
        <t>Fonte: governança; marcar OK somente após revisão do responsável tributário.</t>
      </text>
    </comment>
    <comment ref="H28" authorId="0" shapeId="0">
      <text>
        <t>Fonte: governança; inserir responsável pela revisão do item.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3"/>
  <sheetViews>
    <sheetView showGridLines="0" topLeftCell="A36" zoomScale="80" zoomScaleNormal="80" workbookViewId="0">
      <selection activeCell="B32" sqref="B32"/>
    </sheetView>
  </sheetViews>
  <sheetFormatPr baseColWidth="8" defaultColWidth="8.5703125" defaultRowHeight="15"/>
  <cols>
    <col width="4.5703125" customWidth="1" min="1" max="1"/>
    <col width="38" customWidth="1" min="2" max="2"/>
    <col width="43.7109375" bestFit="1" customWidth="1" min="3" max="3"/>
    <col width="30.42578125" customWidth="1" min="4" max="4"/>
    <col width="21.7109375" customWidth="1" min="5" max="5"/>
    <col width="26" customWidth="1" min="6" max="6"/>
    <col width="27.28515625" bestFit="1" customWidth="1" min="7" max="7"/>
    <col width="12" customWidth="1" min="8" max="8"/>
    <col width="15.85546875" bestFit="1" customWidth="1" min="9" max="9"/>
    <col width="11.28515625" bestFit="1" customWidth="1" min="10" max="10"/>
  </cols>
  <sheetData>
    <row r="1" ht="20.25" customHeight="1">
      <c r="C1" s="1" t="inlineStr">
        <is>
          <t>Resumo Executivo</t>
        </is>
      </c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C3" s="3" t="inlineStr">
        <is>
          <t>Leitura rápida do cenário ativo, comparação de cenários e checks de integridade.</t>
        </is>
      </c>
      <c r="I3" s="4" t="inlineStr">
        <is>
          <t>Versão consultiva v4</t>
        </is>
      </c>
      <c r="J3" s="5" t="inlineStr">
        <is>
          <t>05/10/2026</t>
        </is>
      </c>
    </row>
    <row r="4" ht="39" customHeight="1">
      <c r="B4" s="6" t="inlineStr">
        <is>
          <t>USO CONSULTIVO CONTROLADO — não substitui apuração fiscal, parecer tributário ou revisão profissional.</t>
        </is>
      </c>
      <c r="C4" s="7" t="inlineStr">
        <is>
          <t>Valores em R$ nominais; altere o seletor na aba Premissas &amp; Cenários.</t>
        </is>
      </c>
    </row>
    <row r="5"/>
    <row r="6" ht="15.75" customHeight="1">
      <c r="C6" s="8" t="inlineStr">
        <is>
          <t>Painel do cenário ativo</t>
        </is>
      </c>
      <c r="D6" s="9" t="n"/>
      <c r="E6" s="9" t="n"/>
      <c r="F6" s="9" t="n"/>
      <c r="G6" s="9" t="n"/>
      <c r="H6" s="9" t="n"/>
      <c r="I6" s="9" t="n"/>
      <c r="J6" s="9" t="n"/>
    </row>
    <row r="7"/>
    <row r="8">
      <c r="C8" s="10" t="inlineStr">
        <is>
          <t>Cenário ativo</t>
        </is>
      </c>
      <c r="D8" s="11">
        <f>'Premissas &amp; Cenários'!$B$6</f>
        <v/>
      </c>
      <c r="F8" s="10" t="inlineStr">
        <is>
          <t>VGV tributável</t>
        </is>
      </c>
      <c r="G8" s="12">
        <f>Fluxo_Incorporacao!$C$27</f>
        <v/>
      </c>
    </row>
    <row r="9"/>
    <row r="10">
      <c r="C10" s="10" t="inlineStr">
        <is>
          <t>Débito IBS + CBS</t>
        </is>
      </c>
      <c r="D10" s="13">
        <f>Fluxo_Incorporacao!$C$33</f>
        <v/>
      </c>
      <c r="F10" s="10" t="inlineStr">
        <is>
          <t>Créditos totais</t>
        </is>
      </c>
      <c r="G10" s="13">
        <f>Fluxo_Incorporacao!$C$36</f>
        <v/>
      </c>
    </row>
    <row r="11"/>
    <row r="12">
      <c r="C12" s="10" t="inlineStr">
        <is>
          <t>Imposto líquido a pagar</t>
        </is>
      </c>
      <c r="D12" s="13">
        <f>Fluxo_Incorporacao!$C$38</f>
        <v/>
      </c>
      <c r="F12" s="10" t="inlineStr">
        <is>
          <t>Lucro líquido</t>
        </is>
      </c>
      <c r="G12" s="13">
        <f>'DRE Empreendimento'!$E$31</f>
        <v/>
      </c>
    </row>
    <row r="13"/>
    <row r="14">
      <c r="C14" s="10" t="inlineStr">
        <is>
          <t>Margem líquida</t>
        </is>
      </c>
      <c r="D14" s="14">
        <f>'DRE Empreendimento'!$E$32</f>
        <v/>
      </c>
      <c r="F14" s="10" t="inlineStr">
        <is>
          <t>Check de integridade</t>
        </is>
      </c>
      <c r="G14" s="15">
        <f>IF(AND(ROUND(Fluxo_Incorporacao!$C$39,2)=0,ROUND(Fluxo_Incorporacao!$C$112,2)=0,ROUND(Fluxo_Incorporacao!$C$113,2)=0,ROUND('DRE Empreendimento'!$E$33,2)=0,ROUND('DRE Empreendimento'!$E$43,2)=0),"OK","REVISAR")</f>
        <v/>
      </c>
    </row>
    <row r="15"/>
    <row r="16" ht="30.75" customHeight="1">
      <c r="C16" s="16" t="inlineStr">
        <is>
          <t>Status de uso consultivo</t>
        </is>
      </c>
      <c r="D16" s="17">
        <f>'Matriz Normativa &amp; Governança'!$G$13</f>
        <v/>
      </c>
      <c r="F16" s="16" t="inlineStr">
        <is>
          <t>Modo de cálculo</t>
        </is>
      </c>
      <c r="G16" s="17">
        <f>'Matriz Normativa &amp; Governança'!$C$8</f>
        <v/>
      </c>
    </row>
    <row r="17"/>
    <row r="18">
      <c r="C18" s="16" t="inlineStr">
        <is>
          <t>Tributos no ciclo — regime regular</t>
        </is>
      </c>
      <c r="D18" s="115">
        <f>'Comparativo RET'!$G$13</f>
        <v/>
      </c>
      <c r="F18" s="10" t="inlineStr">
        <is>
          <t>Tributos no ciclo — RET (art. 485)</t>
        </is>
      </c>
      <c r="G18" s="115">
        <f>'Comparativo RET'!$G$19</f>
        <v/>
      </c>
    </row>
    <row r="19" ht="15.75" customHeight="1">
      <c r="B19" s="8">
        <f>"Comparação de cenários — modo: "&amp;'Matriz Normativa &amp; Governança'!$C$8</f>
        <v/>
      </c>
      <c r="C19" s="9" t="n"/>
      <c r="D19" s="9" t="n"/>
      <c r="E19" s="9" t="n"/>
      <c r="F19" s="9" t="n"/>
    </row>
    <row r="20">
      <c r="B20" s="18" t="inlineStr">
        <is>
          <t>Indicador</t>
        </is>
      </c>
      <c r="C20" s="18" t="inlineStr">
        <is>
          <t>Otimista</t>
        </is>
      </c>
      <c r="D20" s="18" t="inlineStr">
        <is>
          <t>Base</t>
        </is>
      </c>
      <c r="E20" s="18" t="inlineStr">
        <is>
          <t>Pessimista</t>
        </is>
      </c>
      <c r="F20" s="18" t="inlineStr">
        <is>
          <t>Ativo</t>
        </is>
      </c>
    </row>
    <row r="21">
      <c r="B21" s="19" t="inlineStr">
        <is>
          <t>VGV tributável</t>
        </is>
      </c>
      <c r="C21" s="20">
        <f>'DRE Empreendimento'!B8</f>
        <v/>
      </c>
      <c r="D21" s="20">
        <f>'DRE Empreendimento'!C8</f>
        <v/>
      </c>
      <c r="E21" s="20">
        <f>'DRE Empreendimento'!D8</f>
        <v/>
      </c>
      <c r="F21" s="20">
        <f>'DRE Empreendimento'!E8</f>
        <v/>
      </c>
    </row>
    <row r="22">
      <c r="B22" s="19" t="inlineStr">
        <is>
          <t>Débito IBS + CBS</t>
        </is>
      </c>
      <c r="C22" s="21">
        <f>'DRE Empreendimento'!B9</f>
        <v/>
      </c>
      <c r="D22" s="21">
        <f>'DRE Empreendimento'!C9</f>
        <v/>
      </c>
      <c r="E22" s="21">
        <f>'DRE Empreendimento'!D9</f>
        <v/>
      </c>
      <c r="F22" s="21">
        <f>'DRE Empreendimento'!E9</f>
        <v/>
      </c>
    </row>
    <row r="23">
      <c r="B23" s="19" t="inlineStr">
        <is>
          <t>Créditos totais</t>
        </is>
      </c>
      <c r="C23" s="21">
        <f>'DRE Empreendimento'!B39</f>
        <v/>
      </c>
      <c r="D23" s="21">
        <f>'DRE Empreendimento'!C39</f>
        <v/>
      </c>
      <c r="E23" s="21">
        <f>'DRE Empreendimento'!D39</f>
        <v/>
      </c>
      <c r="F23" s="21">
        <f>'DRE Empreendimento'!E39</f>
        <v/>
      </c>
    </row>
    <row r="24">
      <c r="B24" s="19" t="inlineStr">
        <is>
          <t>Imposto líquido a pagar</t>
        </is>
      </c>
      <c r="C24" s="21">
        <f>'DRE Empreendimento'!B41</f>
        <v/>
      </c>
      <c r="D24" s="21">
        <f>'DRE Empreendimento'!C41</f>
        <v/>
      </c>
      <c r="E24" s="21">
        <f>'DRE Empreendimento'!D41</f>
        <v/>
      </c>
      <c r="F24" s="21">
        <f>'DRE Empreendimento'!E41</f>
        <v/>
      </c>
    </row>
    <row r="25">
      <c r="B25" s="22" t="inlineStr">
        <is>
          <t>EBITDA</t>
        </is>
      </c>
      <c r="C25" s="23">
        <f>'DRE Empreendimento'!B23</f>
        <v/>
      </c>
      <c r="D25" s="23">
        <f>'DRE Empreendimento'!C23</f>
        <v/>
      </c>
      <c r="E25" s="23">
        <f>'DRE Empreendimento'!D23</f>
        <v/>
      </c>
      <c r="F25" s="23">
        <f>'DRE Empreendimento'!E23</f>
        <v/>
      </c>
    </row>
    <row r="26">
      <c r="B26" s="24" t="inlineStr">
        <is>
          <t>Lucro líquido</t>
        </is>
      </c>
      <c r="C26" s="25">
        <f>'DRE Empreendimento'!B31</f>
        <v/>
      </c>
      <c r="D26" s="25">
        <f>'DRE Empreendimento'!C31</f>
        <v/>
      </c>
      <c r="E26" s="25">
        <f>'DRE Empreendimento'!D31</f>
        <v/>
      </c>
      <c r="F26" s="25">
        <f>'DRE Empreendimento'!E31</f>
        <v/>
      </c>
    </row>
    <row r="27">
      <c r="B27" s="22" t="inlineStr">
        <is>
          <t>Margem líquida</t>
        </is>
      </c>
      <c r="C27" s="26">
        <f>'DRE Empreendimento'!B32</f>
        <v/>
      </c>
      <c r="D27" s="26">
        <f>'DRE Empreendimento'!C32</f>
        <v/>
      </c>
      <c r="E27" s="26">
        <f>'DRE Empreendimento'!D32</f>
        <v/>
      </c>
      <c r="F27" s="26">
        <f>'DRE Empreendimento'!E32</f>
        <v/>
      </c>
    </row>
    <row r="28"/>
    <row r="29"/>
    <row r="30" ht="15.75" customHeight="1">
      <c r="B30" s="8" t="inlineStr">
        <is>
          <t>Leitura rápida</t>
        </is>
      </c>
      <c r="C30" s="9" t="n"/>
      <c r="D30" s="9" t="n"/>
      <c r="E30" s="9" t="n"/>
      <c r="F30" s="9" t="n"/>
      <c r="G30" s="9" t="n"/>
      <c r="H30" s="9" t="n"/>
    </row>
    <row r="31"/>
    <row r="32" ht="51" customHeight="1">
      <c r="B32" s="27" t="inlineStr">
        <is>
          <t>O seletor de cenário altera RAJ, participação do Simples, créditos, débito e resultado. O modo padrão é Transição temporal: 2026 com PIS/Cofins e ano-teste dispensado, CBS a partir de 2027 e IBS gradual até 2033.</t>
        </is>
      </c>
    </row>
    <row r="33"/>
    <row r="34" ht="63.75" customHeight="1">
      <c r="B34" s="27" t="inlineStr">
        <is>
          <t>Crédito de obra por composição do custo (materiais a 27% e serviços de construção terceirizados a 13,5%; folha própria de obra, se houver, sem crédito) e crédito de despesas por categoria; valores com tributo embutido e cálculo por fora.</t>
        </is>
      </c>
    </row>
    <row r="35"/>
    <row r="36" ht="51" customHeight="1">
      <c r="B36" s="27" t="inlineStr">
        <is>
          <t>Os checks de IVA, imposto pago, recebimentos e DRE devem permanecer iguais a zero; “OK” no painel significa que as conexões principais estão fechadas.</t>
        </is>
      </c>
    </row>
    <row r="37"/>
    <row r="38" ht="51" customHeight="1">
      <c r="B38" s="27" t="inlineStr">
        <is>
          <t>Veja a aba Comparativo RET: pelo art. 485, a opção pelo RET antes de 2029 mantém a carga em 4% da receita recebida, sem créditos.</t>
        </is>
      </c>
    </row>
    <row r="39"/>
    <row r="40"/>
    <row r="41">
      <c r="B41" s="10" t="inlineStr">
        <is>
          <t>Navegação rápida</t>
        </is>
      </c>
    </row>
    <row r="42">
      <c r="B42" s="113" t="inlineStr">
        <is>
          <t>Premissas &amp; Cenários</t>
        </is>
      </c>
    </row>
    <row r="43">
      <c r="B43" s="113" t="inlineStr">
        <is>
          <t>Fluxo_Incorporacao</t>
        </is>
      </c>
    </row>
    <row r="44">
      <c r="B44" s="113" t="inlineStr">
        <is>
          <t>DRE Empreendimento</t>
        </is>
      </c>
    </row>
    <row r="45">
      <c r="B45" s="113" t="inlineStr">
        <is>
          <t>Relatório</t>
        </is>
      </c>
    </row>
    <row r="46"/>
    <row r="47">
      <c r="B47" s="16" t="inlineStr">
        <is>
          <t>Módulos consultivos</t>
        </is>
      </c>
    </row>
    <row r="48">
      <c r="B48" s="113" t="inlineStr">
        <is>
          <t>Transição Tributária</t>
        </is>
      </c>
    </row>
    <row r="49">
      <c r="B49" s="113" t="inlineStr">
        <is>
          <t>Cadastro Unidades</t>
        </is>
      </c>
    </row>
    <row r="50">
      <c r="B50" s="113" t="inlineStr">
        <is>
          <t>Créditos &amp; RAJ</t>
        </is>
      </c>
    </row>
    <row r="51">
      <c r="B51" s="113" t="inlineStr">
        <is>
          <t>Matriz Normativa &amp; Governança</t>
        </is>
      </c>
    </row>
    <row r="52">
      <c r="B52" s="116" t="inlineStr">
        <is>
          <t>IRPJ_CSLL Trimestral</t>
        </is>
      </c>
    </row>
    <row r="53">
      <c r="B53" s="116" t="inlineStr">
        <is>
          <t>Comparativo RET</t>
        </is>
      </c>
    </row>
  </sheetData>
  <hyperlinks>
    <hyperlink ref="B42" location="'Premissas &amp; Cenários'!A1" display="Premissas &amp; Cenários"/>
    <hyperlink ref="B43" location="Fluxo_Incorporacao!A1" display="Fluxo_Incorporacao"/>
    <hyperlink ref="B44" location="'DRE Empreendimento'!A1" display="DRE Empreendimento"/>
    <hyperlink ref="B45" location="Relatório!A1" display="Relatório"/>
    <hyperlink ref="B48" location="'Transição Tributária'!A1" display="Transição Tributária"/>
    <hyperlink ref="B49" location="'Cadastro Unidades'!A1" display="Cadastro Unidades"/>
    <hyperlink ref="B50" location="'Créditos &amp; RAJ'!A1" display="Créditos &amp; RAJ"/>
    <hyperlink ref="B51" location="'Matriz Normativa &amp; Governança'!A1" display="Matriz Normativa &amp; Governança"/>
    <hyperlink ref="B52" location="'IRPJ_CSLL Trimestral'!A1" display="IRPJ_CSLL Trimestral"/>
    <hyperlink ref="B53" location="'Comparativo RET'!A1" display="Comparativo RET"/>
  </hyperlink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15"/>
  <sheetViews>
    <sheetView showGridLines="0" tabSelected="1" zoomScale="80" zoomScaleNormal="80" workbookViewId="0">
      <selection activeCell="B6" sqref="B6"/>
    </sheetView>
  </sheetViews>
  <sheetFormatPr baseColWidth="8" defaultColWidth="8.5703125" defaultRowHeight="15"/>
  <cols>
    <col width="43" bestFit="1" customWidth="1" min="1" max="1"/>
    <col width="44" customWidth="1" min="2" max="4"/>
    <col width="18" customWidth="1" min="3" max="3"/>
    <col width="18" customWidth="1" min="4" max="4"/>
    <col width="18" customWidth="1" min="5" max="5"/>
    <col width="38" customWidth="1" min="6" max="6"/>
    <col width="44" customWidth="1" min="7" max="7"/>
    <col width="50.7109375" bestFit="1" customWidth="1" min="8" max="8"/>
    <col width="12" customWidth="1" min="9" max="9"/>
  </cols>
  <sheetData>
    <row r="1" ht="24" customHeight="1">
      <c r="A1" s="1" t="inlineStr">
        <is>
          <t>Premissas &amp; Cenários</t>
        </is>
      </c>
      <c r="B1" s="2" t="n"/>
      <c r="C1" s="2" t="n"/>
    </row>
    <row r="2"/>
    <row r="3" ht="30" customHeight="1">
      <c r="A3" s="3" t="inlineStr">
        <is>
          <t>Entradas editáveis, parâmetros tributários, cenários e valores ativos.</t>
        </is>
      </c>
    </row>
    <row r="4" ht="30" customHeight="1">
      <c r="A4" s="7" t="inlineStr">
        <is>
          <t>Valores monetários em R$ nominais; percentuais em proporção; unidades em quantidade.</t>
        </is>
      </c>
    </row>
    <row r="5"/>
    <row r="6" ht="15" customHeight="1">
      <c r="A6" s="28" t="inlineStr">
        <is>
          <t>Cenário ativo</t>
        </is>
      </c>
      <c r="B6" s="29" t="inlineStr">
        <is>
          <t>Pessimista</t>
        </is>
      </c>
      <c r="C6" s="9" t="n"/>
    </row>
    <row r="7"/>
    <row r="8" ht="15" customHeight="1">
      <c r="A8" s="8" t="inlineStr">
        <is>
          <t>Premissas operacionais</t>
        </is>
      </c>
      <c r="B8" s="9" t="n"/>
      <c r="C8" s="9" t="n"/>
    </row>
    <row r="9"/>
    <row r="10" ht="15" customHeight="1">
      <c r="A10" s="19" t="inlineStr">
        <is>
          <t>VGV de lançamento total</t>
        </is>
      </c>
      <c r="B10" s="30" t="n">
        <v>280000000</v>
      </c>
    </row>
    <row r="11" ht="15" customHeight="1">
      <c r="A11" s="19" t="inlineStr">
        <is>
          <t>Permuta física de terreno</t>
        </is>
      </c>
      <c r="B11" s="31" t="n">
        <v>33000000</v>
      </c>
    </row>
    <row r="12" ht="15" customHeight="1">
      <c r="A12" s="19" t="inlineStr">
        <is>
          <t>Número total de unidades</t>
        </is>
      </c>
      <c r="B12" s="31" t="n">
        <v>100</v>
      </c>
    </row>
    <row r="13" ht="15" customHeight="1">
      <c r="A13" s="19" t="inlineStr">
        <is>
          <t>Tipo de imóvel</t>
        </is>
      </c>
      <c r="B13" s="32" t="inlineStr">
        <is>
          <t>Residencial Novo</t>
        </is>
      </c>
    </row>
    <row r="14" ht="15" customHeight="1">
      <c r="A14" s="19" t="inlineStr">
        <is>
          <t>Mês inicial da obra</t>
        </is>
      </c>
      <c r="B14" s="31" t="n">
        <v>2</v>
      </c>
    </row>
    <row r="15" ht="15" customHeight="1">
      <c r="A15" s="19" t="inlineStr">
        <is>
          <t>Mês final da obra</t>
        </is>
      </c>
      <c r="B15" s="31" t="n">
        <v>59</v>
      </c>
    </row>
    <row r="16"/>
    <row r="17" ht="15" customHeight="1">
      <c r="A17" s="19" t="inlineStr">
        <is>
          <t>Duração da obra</t>
        </is>
      </c>
      <c r="B17" s="33">
        <f>B15-B14+1</f>
        <v/>
      </c>
    </row>
    <row r="18" ht="15" customHeight="1">
      <c r="A18" s="19" t="inlineStr">
        <is>
          <t>Prazo total do fluxo</t>
        </is>
      </c>
      <c r="B18" s="31" t="n">
        <v>60</v>
      </c>
    </row>
    <row r="19" ht="15" customHeight="1">
      <c r="A19" s="19" t="inlineStr">
        <is>
          <t>Recebimento de entrada</t>
        </is>
      </c>
      <c r="B19" s="34" t="n">
        <v>0.12</v>
      </c>
    </row>
    <row r="20" ht="15" customHeight="1">
      <c r="A20" s="19" t="inlineStr">
        <is>
          <t>Recebimentos mensais</t>
        </is>
      </c>
      <c r="B20" s="34" t="n">
        <v>0.43</v>
      </c>
    </row>
    <row r="21" ht="15" customHeight="1">
      <c r="A21" s="19" t="inlineStr">
        <is>
          <t>Recebimento nas chaves</t>
        </is>
      </c>
      <c r="B21" s="34" t="n">
        <v>0.45</v>
      </c>
    </row>
    <row r="22" ht="15" customHeight="1">
      <c r="A22" s="10" t="inlineStr">
        <is>
          <t>Total de despesas operacionais e vendas</t>
        </is>
      </c>
      <c r="B22" s="35">
        <f>SUM(B24:B28)</f>
        <v/>
      </c>
    </row>
    <row r="23"/>
    <row r="24" ht="15" customHeight="1">
      <c r="A24" s="19" t="inlineStr">
        <is>
          <t>Projetos e engenharia</t>
        </is>
      </c>
      <c r="B24" s="30" t="n">
        <v>2000000</v>
      </c>
    </row>
    <row r="25" ht="15" customHeight="1">
      <c r="A25" s="19" t="inlineStr">
        <is>
          <t>Marketing e comercialização</t>
        </is>
      </c>
      <c r="B25" s="31" t="n">
        <v>11000000</v>
      </c>
    </row>
    <row r="26" ht="15" customHeight="1">
      <c r="A26" s="19" t="inlineStr">
        <is>
          <t>Comissões de corretagem</t>
        </is>
      </c>
      <c r="B26" s="31" t="n">
        <v>16000000</v>
      </c>
    </row>
    <row r="27" ht="15" customHeight="1">
      <c r="A27" s="19" t="inlineStr">
        <is>
          <t>Administração central</t>
        </is>
      </c>
      <c r="B27" s="31" t="n">
        <v>5000000</v>
      </c>
    </row>
    <row r="28" ht="15" customHeight="1">
      <c r="A28" s="19" t="inlineStr">
        <is>
          <t>Serviços jurídicos e cartórios</t>
        </is>
      </c>
      <c r="B28" s="31" t="n">
        <v>4000000</v>
      </c>
    </row>
    <row r="29"/>
    <row r="30"/>
    <row r="31" ht="15" customHeight="1">
      <c r="A31" s="8" t="inlineStr">
        <is>
          <t>Premissas tributárias e fiscais</t>
        </is>
      </c>
      <c r="B31" s="9" t="n"/>
      <c r="C31" s="9" t="n"/>
    </row>
    <row r="32"/>
    <row r="33" ht="15" customHeight="1">
      <c r="A33" s="19" t="inlineStr">
        <is>
          <t>Alíquota padrão combinada IBS + CBS</t>
        </is>
      </c>
      <c r="B33" s="34" t="n">
        <v>0.27</v>
      </c>
    </row>
    <row r="34" ht="15" customHeight="1">
      <c r="A34" s="19" t="inlineStr">
        <is>
          <t>Redução imobiliária</t>
        </is>
      </c>
      <c r="B34" s="34" t="n">
        <v>0.5</v>
      </c>
    </row>
    <row r="35" ht="15" customHeight="1">
      <c r="A35" s="19" t="inlineStr">
        <is>
          <t>Alíquota efetiva plena do setor</t>
        </is>
      </c>
      <c r="B35" s="36">
        <f>B33*(1-B34)</f>
        <v/>
      </c>
    </row>
    <row r="36" ht="15" customHeight="1">
      <c r="A36" s="19" t="inlineStr">
        <is>
          <t>Alíquota combinada de teste</t>
        </is>
      </c>
      <c r="B36" s="34" t="n">
        <v>0.01</v>
      </c>
    </row>
    <row r="37" ht="15" customHeight="1">
      <c r="A37" s="19" t="inlineStr">
        <is>
          <t>Alíquota efetiva de teste</t>
        </is>
      </c>
      <c r="B37" s="36">
        <f>B36*(1-B34)</f>
        <v/>
      </c>
    </row>
    <row r="38" ht="15" customHeight="1">
      <c r="A38" s="19" t="inlineStr">
        <is>
          <t>Redutor social residencial novo</t>
        </is>
      </c>
      <c r="B38" s="30" t="n">
        <v>100000</v>
      </c>
    </row>
    <row r="39" ht="15" customHeight="1">
      <c r="A39" s="19" t="inlineStr">
        <is>
          <t>Redutor social lote residencial</t>
        </is>
      </c>
      <c r="B39" s="31" t="n">
        <v>30000</v>
      </c>
    </row>
    <row r="40" ht="15" customHeight="1">
      <c r="A40" s="19" t="inlineStr">
        <is>
          <t>Crédito obra fornecedor regular</t>
        </is>
      </c>
      <c r="B40" s="34" t="n">
        <v>0.27</v>
      </c>
    </row>
    <row r="41" ht="15" customHeight="1">
      <c r="A41" s="19" t="inlineStr">
        <is>
          <t>Crédito obra fornecedor Simples Nacional</t>
        </is>
      </c>
      <c r="B41" s="34" t="n">
        <v>0.04</v>
      </c>
    </row>
    <row r="42" ht="15" customHeight="1">
      <c r="A42" s="19" t="inlineStr">
        <is>
          <t>Fator de crédito serviços intelectuais</t>
        </is>
      </c>
      <c r="B42" s="34" t="n">
        <v>0.7</v>
      </c>
    </row>
    <row r="43" ht="15" customHeight="1">
      <c r="A43" s="19" t="inlineStr">
        <is>
          <t>Crédito de serviços intelectuais</t>
        </is>
      </c>
      <c r="B43" s="36">
        <f>B40*B42</f>
        <v/>
      </c>
    </row>
    <row r="44" ht="15" customHeight="1">
      <c r="A44" s="19" t="inlineStr">
        <is>
          <t>Base de presunção IRPJ</t>
        </is>
      </c>
      <c r="B44" s="34" t="n">
        <v>0.08</v>
      </c>
    </row>
    <row r="45" ht="15" customHeight="1">
      <c r="A45" s="19" t="inlineStr">
        <is>
          <t>Alíquota IRPJ básica</t>
        </is>
      </c>
      <c r="B45" s="34" t="n">
        <v>0.15</v>
      </c>
    </row>
    <row r="46" ht="15" customHeight="1">
      <c r="A46" s="117" t="inlineStr">
        <is>
          <t>Limite trimestral da base para adicional de IRPJ</t>
        </is>
      </c>
      <c r="B46" s="30" t="n">
        <v>60000</v>
      </c>
    </row>
    <row r="47" ht="15" customHeight="1">
      <c r="A47" s="19" t="inlineStr">
        <is>
          <t>Alíquota IRPJ adicional</t>
        </is>
      </c>
      <c r="B47" s="34" t="n">
        <v>0.1</v>
      </c>
    </row>
    <row r="48" ht="15" customHeight="1">
      <c r="A48" s="19" t="inlineStr">
        <is>
          <t>Base de presunção CSLL</t>
        </is>
      </c>
      <c r="B48" s="34" t="n">
        <v>0.12</v>
      </c>
    </row>
    <row r="49" ht="15" customHeight="1">
      <c r="A49" s="19" t="inlineStr">
        <is>
          <t>Alíquota CSLL</t>
        </is>
      </c>
      <c r="B49" s="34" t="n">
        <v>0.09</v>
      </c>
    </row>
    <row r="50" ht="15" customHeight="1">
      <c r="A50" s="117" t="inlineStr">
        <is>
          <t>Ano inicial do fluxo (mês 1 = janeiro)</t>
        </is>
      </c>
      <c r="B50" s="31" t="n">
        <v>2026</v>
      </c>
    </row>
    <row r="51"/>
    <row r="52"/>
    <row r="53" ht="15" customHeight="1">
      <c r="A53" s="8" t="inlineStr">
        <is>
          <t>Tabela de cenários</t>
        </is>
      </c>
      <c r="B53" s="9" t="n"/>
      <c r="C53" s="9" t="n"/>
      <c r="D53" s="9" t="n"/>
      <c r="F53" s="8" t="inlineStr">
        <is>
          <t>Parâmetros ativos</t>
        </is>
      </c>
      <c r="G53" s="9" t="n"/>
      <c r="H53" s="9" t="n"/>
      <c r="I53" s="9" t="n"/>
    </row>
    <row r="54" ht="15" customHeight="1">
      <c r="B54" s="18" t="inlineStr">
        <is>
          <t>Otimista</t>
        </is>
      </c>
      <c r="C54" s="18" t="inlineStr">
        <is>
          <t>Base</t>
        </is>
      </c>
      <c r="D54" s="18" t="inlineStr">
        <is>
          <t>Pessimista</t>
        </is>
      </c>
      <c r="F54" s="37" t="inlineStr">
        <is>
          <t>Parâmetro</t>
        </is>
      </c>
      <c r="G54" s="37" t="inlineStr">
        <is>
          <t>Valor</t>
        </is>
      </c>
      <c r="H54" s="37" t="inlineStr">
        <is>
          <t>Observação</t>
        </is>
      </c>
      <c r="I54" s="37" t="n"/>
    </row>
    <row r="55" ht="15" customHeight="1">
      <c r="A55" s="19" t="inlineStr">
        <is>
          <t>VGV total</t>
        </is>
      </c>
      <c r="B55" s="30" t="n">
        <v>280000000</v>
      </c>
      <c r="C55" s="30" t="n">
        <v>280000000</v>
      </c>
      <c r="D55" s="30" t="n">
        <v>280000000</v>
      </c>
      <c r="F55" s="19" t="inlineStr">
        <is>
          <t>VGV total</t>
        </is>
      </c>
      <c r="G55" s="38">
        <f>IFERROR(INDEX($B$55:$D$55,1,MATCH($B$6,$B$54:$D$54,0)),0)</f>
        <v/>
      </c>
      <c r="H55" s="112" t="inlineStr">
        <is>
          <t>Selecionado pelo cenário ativo.</t>
        </is>
      </c>
    </row>
    <row r="56" ht="15" customHeight="1">
      <c r="A56" s="19" t="inlineStr">
        <is>
          <t>Permuta física</t>
        </is>
      </c>
      <c r="B56" s="30" t="n">
        <v>33000000</v>
      </c>
      <c r="C56" s="30" t="n">
        <v>33000000</v>
      </c>
      <c r="D56" s="30" t="n">
        <v>33000000</v>
      </c>
      <c r="F56" s="19" t="inlineStr">
        <is>
          <t>Permuta física</t>
        </is>
      </c>
      <c r="G56" s="33">
        <f>IFERROR(INDEX($B$56:$D$56,1,MATCH($B$6,$B$54:$D$54,0)),0)</f>
        <v/>
      </c>
      <c r="H56" s="112" t="inlineStr">
        <is>
          <t>Permuta física de terreno.</t>
        </is>
      </c>
    </row>
    <row r="57">
      <c r="A57" s="19" t="inlineStr">
        <is>
          <t>RAJ do terreno</t>
        </is>
      </c>
      <c r="B57" s="30" t="n">
        <v>58000000</v>
      </c>
      <c r="C57" s="30" t="n">
        <v>45000000</v>
      </c>
      <c r="D57" s="30" t="n">
        <v>33000000</v>
      </c>
      <c r="F57" s="19" t="inlineStr">
        <is>
          <t>RAJ do terreno</t>
        </is>
      </c>
      <c r="G57" s="33">
        <f>IFERROR(INDEX($B$57:$D$57,1,MATCH($B$6,$B$54:$D$54,0)),0)</f>
        <v/>
      </c>
      <c r="H57" s="112" t="inlineStr">
        <is>
          <t>Redutor de ajuste inicial do terreno.</t>
        </is>
      </c>
    </row>
    <row r="58">
      <c r="A58" s="19" t="inlineStr">
        <is>
          <t>Custo de obra</t>
        </is>
      </c>
      <c r="B58" s="30" t="n">
        <v>150000000</v>
      </c>
      <c r="C58" s="30" t="n">
        <v>150000000</v>
      </c>
      <c r="D58" s="30" t="n">
        <v>150000000</v>
      </c>
      <c r="F58" s="19" t="inlineStr">
        <is>
          <t>Custo de obra</t>
        </is>
      </c>
      <c r="G58" s="33">
        <f>IFERROR(INDEX($B$58:$D$58,1,MATCH($B$6,$B$54:$D$54,0)),0)</f>
        <v/>
      </c>
      <c r="H58" s="112" t="inlineStr">
        <is>
          <t>Custo de obra do cenário ativo.</t>
        </is>
      </c>
    </row>
    <row r="59">
      <c r="A59" s="19" t="inlineStr">
        <is>
          <t>Participação Simples Nacional</t>
        </is>
      </c>
      <c r="B59" s="34" t="n">
        <v>0</v>
      </c>
      <c r="C59" s="34" t="n">
        <v>0.4</v>
      </c>
      <c r="D59" s="34" t="n">
        <v>0.8</v>
      </c>
      <c r="F59" s="19" t="inlineStr">
        <is>
          <t>Participação Simples Nacional</t>
        </is>
      </c>
      <c r="G59" s="36">
        <f>IFERROR(INDEX($B$59:$D$59,1,MATCH($B$6,$B$54:$D$54,0)),0)</f>
        <v/>
      </c>
      <c r="H59" s="112" t="inlineStr">
        <is>
          <t>Participação usada na média de crédito de obra.</t>
        </is>
      </c>
    </row>
    <row r="60">
      <c r="A60" s="10" t="inlineStr">
        <is>
          <t>VGV de vendas real tributável</t>
        </is>
      </c>
      <c r="B60" s="39">
        <f>B55-B56</f>
        <v/>
      </c>
      <c r="C60" s="39">
        <f>C55-C56</f>
        <v/>
      </c>
      <c r="D60" s="39">
        <f>D55-D56</f>
        <v/>
      </c>
      <c r="F60" s="19" t="inlineStr">
        <is>
          <t>VGV de vendas real tributável</t>
        </is>
      </c>
      <c r="G60" s="35">
        <f>IFERROR(INDEX($B$60:$D$60,1,MATCH($B$6,$B$54:$D$54,0)),0)</f>
        <v/>
      </c>
      <c r="H60" s="112" t="inlineStr">
        <is>
          <t>VGV total menos permuta física.</t>
        </is>
      </c>
    </row>
    <row r="61">
      <c r="A61" s="19" t="inlineStr">
        <is>
          <t>Preço médio por unidade</t>
        </is>
      </c>
      <c r="B61" s="33">
        <f>IFERROR(B55/$B$12,0)</f>
        <v/>
      </c>
      <c r="C61" s="33">
        <f>IFERROR(C55/$B$12,0)</f>
        <v/>
      </c>
      <c r="D61" s="33">
        <f>IFERROR(D55/$B$12,0)</f>
        <v/>
      </c>
      <c r="F61" s="19" t="inlineStr">
        <is>
          <t>Preço médio por unidade</t>
        </is>
      </c>
      <c r="G61" s="33">
        <f>IFERROR(INDEX($B$61:$D$61,1,MATCH($B$6,$B$54:$D$54,0)),0)</f>
        <v/>
      </c>
      <c r="H61" s="112" t="inlineStr">
        <is>
          <t>VGV total dividido pelo total de unidades.</t>
        </is>
      </c>
    </row>
    <row r="62">
      <c r="A62" s="19" t="inlineStr">
        <is>
          <t>Unidades de permuta estimadas</t>
        </is>
      </c>
      <c r="B62" s="33">
        <f>ROUND(IFERROR(B56/B61,0),0)</f>
        <v/>
      </c>
      <c r="C62" s="33">
        <f>ROUND(IFERROR(C56/C61,0),0)</f>
        <v/>
      </c>
      <c r="D62" s="33">
        <f>ROUND(IFERROR(D56/D61,0),0)</f>
        <v/>
      </c>
      <c r="F62" s="19" t="inlineStr">
        <is>
          <t>Unidades de permuta estimadas</t>
        </is>
      </c>
      <c r="G62" s="33">
        <f>IFERROR(INDEX($B$62:$D$62,1,MATCH($B$6,$B$54:$D$54,0)),0)</f>
        <v/>
      </c>
      <c r="H62" s="112" t="inlineStr">
        <is>
          <t>Permuta física dividida pelo preço médio e arredondada.</t>
        </is>
      </c>
    </row>
    <row r="63">
      <c r="A63" s="19" t="inlineStr">
        <is>
          <t>Unidades vendidas tributáveis</t>
        </is>
      </c>
      <c r="B63" s="33">
        <f>MAX(0,$B$12-B62)</f>
        <v/>
      </c>
      <c r="C63" s="33">
        <f>MAX(0,$B$12-C62)</f>
        <v/>
      </c>
      <c r="D63" s="33">
        <f>MAX(0,$B$12-D62)</f>
        <v/>
      </c>
      <c r="F63" s="19" t="inlineStr">
        <is>
          <t>Unidades vendidas tributáveis</t>
        </is>
      </c>
      <c r="G63" s="33">
        <f>IFERROR(INDEX($B$63:$D$63,1,MATCH($B$6,$B$54:$D$54,0)),0)</f>
        <v/>
      </c>
      <c r="H63" s="112" t="inlineStr">
        <is>
          <t>Unidades totais menos unidades de permuta.</t>
        </is>
      </c>
    </row>
    <row r="64">
      <c r="A64" s="19" t="inlineStr">
        <is>
          <t>Alíquota média de crédito sobre obra</t>
        </is>
      </c>
      <c r="B64" s="118">
        <f>IFERROR($B$90*((1-B59)*$B$40/(1+$B$40)+B59*$B$41)+$B$91*((1-B59)*$B$93/(1+$B$93)+B59*$B$41),0)</f>
        <v/>
      </c>
      <c r="C64" s="118">
        <f>IFERROR($B$90*((1-C59)*$B$40/(1+$B$40)+C59*$B$41)+$B$91*((1-C59)*$B$93/(1+$B$93)+C59*$B$41),0)</f>
        <v/>
      </c>
      <c r="D64" s="118">
        <f>IFERROR($B$90*((1-D59)*$B$40/(1+$B$40)+D59*$B$41)+$B$91*((1-D59)*$B$93/(1+$B$93)+D59*$B$41),0)</f>
        <v/>
      </c>
      <c r="F64" s="19" t="inlineStr">
        <is>
          <t>Alíquota efetiva plena</t>
        </is>
      </c>
      <c r="G64" s="36">
        <f>$B$35</f>
        <v/>
      </c>
      <c r="H64" s="112" t="inlineStr">
        <is>
          <t>Alíquota padrão após redução imobiliária.</t>
        </is>
      </c>
    </row>
    <row r="65">
      <c r="A65" s="19" t="inlineStr">
        <is>
          <t>Base após RAJ</t>
        </is>
      </c>
      <c r="B65" s="33">
        <f>MAX(0,B60-MIN(B60,B57))</f>
        <v/>
      </c>
      <c r="C65" s="33">
        <f>MAX(0,C60-MIN(C60,C57))</f>
        <v/>
      </c>
      <c r="D65" s="33">
        <f>MAX(0,D60-MIN(D60,D57))</f>
        <v/>
      </c>
      <c r="F65" s="19" t="inlineStr">
        <is>
          <t>Alíquota média de crédito sobre obra</t>
        </is>
      </c>
      <c r="G65" s="36">
        <f>IFERROR(INDEX($B$64:$D$64,1,MATCH($B$6,$B$54:$D$54,0)),0)</f>
        <v/>
      </c>
      <c r="H65" s="112" t="inlineStr">
        <is>
          <t>Média sobre o custo total: folha sem crédito, materiais e serviços pela alíquota de cada um, ponderada pelo Simples.</t>
        </is>
      </c>
    </row>
    <row r="66">
      <c r="A66" s="19" t="inlineStr">
        <is>
          <t>Redutor social total</t>
        </is>
      </c>
      <c r="B66" s="40">
        <f>MIN(B65,B63*IF($B$13="Residencial Novo",$B$38,IF($B$13="Lote Residencial",$B$39,0)))</f>
        <v/>
      </c>
      <c r="C66" s="40">
        <f>MIN(C65,C63*IF($B$13="Residencial Novo",$B$38,IF($B$13="Lote Residencial",$B$39,0)))</f>
        <v/>
      </c>
      <c r="D66" s="40">
        <f>MIN(D65,D63*IF($B$13="Residencial Novo",$B$38,IF($B$13="Lote Residencial",$B$39,0)))</f>
        <v/>
      </c>
      <c r="F66" s="19" t="inlineStr">
        <is>
          <t>Alíquota média crédito despesas</t>
        </is>
      </c>
      <c r="G66" s="41">
        <f>IFERROR(E102/$B$22,0)</f>
        <v/>
      </c>
      <c r="H66" s="112" t="inlineStr">
        <is>
          <t>Crédito das despesas (tabela por categoria) dividido pelo total das despesas.</t>
        </is>
      </c>
    </row>
    <row r="67">
      <c r="A67" s="10" t="inlineStr">
        <is>
          <t>Base de cálculo tributável final</t>
        </is>
      </c>
      <c r="B67" s="35">
        <f>MAX(0,B65-B66)</f>
        <v/>
      </c>
      <c r="C67" s="35">
        <f>MAX(0,C65-C66)</f>
        <v/>
      </c>
      <c r="D67" s="35">
        <f>MAX(0,D65-D66)</f>
        <v/>
      </c>
      <c r="F67" s="19" t="inlineStr">
        <is>
          <t>Créditos totais de despesas</t>
        </is>
      </c>
      <c r="G67" s="35">
        <f>IFERROR($B$22*G66,0)</f>
        <v/>
      </c>
      <c r="H67" s="112" t="inlineStr">
        <is>
          <t>Despesas totais multiplicadas pela alíquota média efetiva.</t>
        </is>
      </c>
    </row>
    <row r="68">
      <c r="A68" s="10" t="inlineStr">
        <is>
          <t>Débito total IBS + CBS</t>
        </is>
      </c>
      <c r="B68" s="35">
        <f>IFERROR(B67/B60,0)*Fluxo_Incorporacao!$T$103</f>
        <v/>
      </c>
      <c r="C68" s="35">
        <f>IFERROR(C67/C60,0)*Fluxo_Incorporacao!$T$103</f>
        <v/>
      </c>
      <c r="D68" s="35">
        <f>IFERROR(D67/D60,0)*Fluxo_Incorporacao!$T$103</f>
        <v/>
      </c>
      <c r="F68" s="19" t="inlineStr">
        <is>
          <t>Base após RAJ</t>
        </is>
      </c>
      <c r="G68" s="33">
        <f>IFERROR(INDEX($B$65:$D$65,1,MATCH($B$6,$B$54:$D$54,0)),0)</f>
        <v/>
      </c>
      <c r="H68" s="112" t="inlineStr">
        <is>
          <t>Base tributável parcial após RAJ.</t>
        </is>
      </c>
    </row>
    <row r="69">
      <c r="A69" s="19" t="inlineStr">
        <is>
          <t>Créditos totais de obra</t>
        </is>
      </c>
      <c r="B69" s="33">
        <f>B58*B64*IFERROR(Fluxo_Incorporacao!$U$103/Fluxo_Incorporacao!$E$103,0)</f>
        <v/>
      </c>
      <c r="C69" s="33">
        <f>C58*C64*IFERROR(Fluxo_Incorporacao!$U$103/Fluxo_Incorporacao!$E$103,0)</f>
        <v/>
      </c>
      <c r="D69" s="33">
        <f>D58*D64*IFERROR(Fluxo_Incorporacao!$U$103/Fluxo_Incorporacao!$E$103,0)</f>
        <v/>
      </c>
      <c r="F69" s="19" t="inlineStr">
        <is>
          <t>Redutor social total</t>
        </is>
      </c>
      <c r="G69" s="33">
        <f>IFERROR(INDEX($B$66:$D$66,1,MATCH($B$6,$B$54:$D$54,0)),0)</f>
        <v/>
      </c>
      <c r="H69" s="112" t="inlineStr">
        <is>
          <t>Redutor social total das unidades tributáveis.</t>
        </is>
      </c>
    </row>
    <row r="70">
      <c r="A70" s="19" t="inlineStr">
        <is>
          <t>Alíquota média crédito despesas</t>
        </is>
      </c>
      <c r="B70" s="36">
        <f>$G$66</f>
        <v/>
      </c>
      <c r="C70" s="36">
        <f>$G$66</f>
        <v/>
      </c>
      <c r="D70" s="36">
        <f>$G$66</f>
        <v/>
      </c>
      <c r="F70" s="19" t="inlineStr">
        <is>
          <t>Base de cálculo tributável final</t>
        </is>
      </c>
      <c r="G70" s="35">
        <f>IFERROR(INDEX($B$67:$D$67,1,MATCH($B$6,$B$54:$D$54,0)),0)</f>
        <v/>
      </c>
      <c r="H70" s="112" t="inlineStr">
        <is>
          <t>Base após RAJ e redutor social.</t>
        </is>
      </c>
    </row>
    <row r="71">
      <c r="A71" s="19" t="inlineStr">
        <is>
          <t>Créditos totais de despesas</t>
        </is>
      </c>
      <c r="B71" s="33">
        <f>$B$22*B70*IFERROR(Fluxo_Incorporacao!$V$103/Fluxo_Incorporacao!$G$103,0)</f>
        <v/>
      </c>
      <c r="C71" s="33">
        <f>$B$22*C70*IFERROR(Fluxo_Incorporacao!$V$103/Fluxo_Incorporacao!$G$103,0)</f>
        <v/>
      </c>
      <c r="D71" s="33">
        <f>$B$22*D70*IFERROR(Fluxo_Incorporacao!$V$103/Fluxo_Incorporacao!$G$103,0)</f>
        <v/>
      </c>
      <c r="F71" s="19" t="inlineStr">
        <is>
          <t>Débito total IBS + CBS</t>
        </is>
      </c>
      <c r="G71" s="35">
        <f>IFERROR(INDEX($B$68:$D$68,1,MATCH($B$6,$B$54:$D$54,0)),0)</f>
        <v/>
      </c>
      <c r="H71" s="112" t="inlineStr">
        <is>
          <t>Débito no modo de cálculo selecionado (plena ou transição), com tributo embutido no preço.</t>
        </is>
      </c>
    </row>
    <row r="72">
      <c r="A72" s="10" t="inlineStr">
        <is>
          <t>Créditos totais do projeto</t>
        </is>
      </c>
      <c r="B72" s="35">
        <f>B69+B71</f>
        <v/>
      </c>
      <c r="C72" s="35">
        <f>C69+C71</f>
        <v/>
      </c>
      <c r="D72" s="35">
        <f>D69+D71</f>
        <v/>
      </c>
      <c r="F72" s="19" t="inlineStr">
        <is>
          <t>Créditos totais de obra</t>
        </is>
      </c>
      <c r="G72" s="33">
        <f>IFERROR(INDEX($B$69:$D$69,1,MATCH($B$6,$B$54:$D$54,0)),0)</f>
        <v/>
      </c>
      <c r="H72" s="112" t="inlineStr">
        <is>
          <t>Custo de obra × média de crédito, na alíquota do modo de cálculo.</t>
        </is>
      </c>
    </row>
    <row r="73">
      <c r="A73" s="10" t="inlineStr">
        <is>
          <t>Imposto líquido a pagar</t>
        </is>
      </c>
      <c r="B73" s="35">
        <f>MAX(0,B68-B72)</f>
        <v/>
      </c>
      <c r="C73" s="35">
        <f>MAX(0,C68-C72)</f>
        <v/>
      </c>
      <c r="D73" s="35">
        <f>MAX(0,D68-D72)</f>
        <v/>
      </c>
      <c r="F73" s="19" t="inlineStr">
        <is>
          <t>Créditos totais do projeto</t>
        </is>
      </c>
      <c r="G73" s="35">
        <f>IFERROR(INDEX($B$72:$D$72,1,MATCH($B$6,$B$54:$D$54,0)),0)</f>
        <v/>
      </c>
      <c r="H73" s="112" t="inlineStr">
        <is>
          <t>Créditos de obra mais despesas, no modo de cálculo selecionado.</t>
        </is>
      </c>
    </row>
    <row r="74">
      <c r="A74" s="10" t="inlineStr">
        <is>
          <t>Saldo credor final</t>
        </is>
      </c>
      <c r="B74" s="35">
        <f>MAX(0,B72-B68)</f>
        <v/>
      </c>
      <c r="C74" s="35">
        <f>MAX(0,C72-C68)</f>
        <v/>
      </c>
      <c r="D74" s="35">
        <f>MAX(0,D72-D68)</f>
        <v/>
      </c>
      <c r="F74" s="19" t="inlineStr">
        <is>
          <t>Imposto líquido a pagar</t>
        </is>
      </c>
      <c r="G74" s="35">
        <f>IFERROR(INDEX($B$73:$D$73,1,MATCH($B$6,$B$54:$D$54,0)),0)</f>
        <v/>
      </c>
      <c r="H74" s="112" t="inlineStr">
        <is>
          <t>Débito menos créditos, limitado a zero.</t>
        </is>
      </c>
    </row>
    <row r="75">
      <c r="F75" s="19" t="inlineStr">
        <is>
          <t>Saldo credor final</t>
        </is>
      </c>
      <c r="G75" s="35">
        <f>IFERROR(INDEX($B$74:$D$74,1,MATCH($B$6,$B$54:$D$54,0)),0)</f>
        <v/>
      </c>
      <c r="H75" s="112" t="inlineStr">
        <is>
          <t>Créditos excedentes ao débito.</t>
        </is>
      </c>
    </row>
    <row r="76">
      <c r="A76" s="119">
        <f>"Os cenários seguem o modo de cálculo selecionado na Matriz: "&amp;'Matriz Normativa &amp; Governança'!$C$8</f>
        <v/>
      </c>
    </row>
    <row r="77"/>
    <row r="78" ht="15" customHeight="1">
      <c r="B78" s="8" t="inlineStr">
        <is>
          <t>Notas de modelagem</t>
        </is>
      </c>
      <c r="C78" s="9" t="n"/>
      <c r="D78" s="9" t="n"/>
      <c r="E78" s="9" t="n"/>
      <c r="F78" s="9" t="n"/>
      <c r="G78" s="9" t="n"/>
      <c r="H78" s="9" t="n"/>
      <c r="I78" s="9" t="n"/>
    </row>
    <row r="79"/>
    <row r="80" ht="51" customHeight="1">
      <c r="B80" s="27" t="inlineStr">
        <is>
          <t>As despesas operacionais e os respectivos créditos são distribuídos uniformemente nos 60 meses; substituir pelo cronograma real quando disponível.</t>
        </is>
      </c>
    </row>
    <row r="81"/>
    <row r="82" ht="38.25" customHeight="1">
      <c r="B82" s="27" t="inlineStr">
        <is>
          <t>Fundamentos: LC 214/2025 com alterações da LC 227/2026, LC 224/2025 e ADCT, art. 125. Validar a redação compilada antes de uso fiscal.</t>
        </is>
      </c>
    </row>
    <row r="83"/>
    <row r="84"/>
    <row r="85">
      <c r="A85" s="120" t="inlineStr">
        <is>
          <t>Premissas v4 — convenção de preços, composição de custos e regimes</t>
        </is>
      </c>
      <c r="B85" s="121" t="n"/>
      <c r="C85" s="121" t="n"/>
      <c r="D85" s="121" t="n"/>
      <c r="E85" s="121" t="n"/>
      <c r="F85" s="121" t="n"/>
      <c r="G85" s="121" t="n"/>
      <c r="H85" s="121" t="n"/>
    </row>
    <row r="86">
      <c r="A86" s="119" t="inlineStr">
        <is>
          <t>Convenção: VGV, custos e despesas são informados pelo valor final pago, com IBS/CBS embutidos. Débitos e créditos são calculados por fora: tributo = valor × a ÷ (1 + a), pois o IBS/CBS não integra a própria base.</t>
        </is>
      </c>
    </row>
    <row r="87"/>
    <row r="88">
      <c r="A88" s="122" t="inlineStr">
        <is>
          <t>Composição do custo de obra</t>
        </is>
      </c>
    </row>
    <row r="89">
      <c r="A89" s="123" t="inlineStr">
        <is>
          <t>Mão de obra própria da obra (folha e encargos) — sem crédito</t>
        </is>
      </c>
      <c r="B89" s="124" t="n">
        <v>0</v>
      </c>
      <c r="F89" s="119" t="inlineStr">
        <is>
          <t>Obra 100% terceirizada; a folha administrativa já está na DRE (Administração central).</t>
        </is>
      </c>
    </row>
    <row r="90">
      <c r="A90" s="123" t="inlineStr">
        <is>
          <t>Materiais e equipamentos — crédito à alíquota padrão</t>
        </is>
      </c>
      <c r="B90" s="124" t="n">
        <v>0.45</v>
      </c>
      <c r="F90" s="119" t="inlineStr">
        <is>
          <t>Premissa ilustrativa: substituir pela curva ABC do orçamento da obra.</t>
        </is>
      </c>
    </row>
    <row r="91">
      <c r="A91" s="123" t="inlineStr">
        <is>
          <t>Serviços de construção e mão de obra terceirizados — crédito à alíquota reduzida (art. 261)</t>
        </is>
      </c>
      <c r="B91" s="124" t="n">
        <v>0.55</v>
      </c>
      <c r="F91" s="119" t="inlineStr">
        <is>
          <t>Premissa ilustrativa: substituir pela curva ABC do orçamento da obra.</t>
        </is>
      </c>
    </row>
    <row r="92">
      <c r="A92" s="122" t="inlineStr">
        <is>
          <t>Check da composição (deve ser 100%)</t>
        </is>
      </c>
      <c r="B92" s="125">
        <f>SUM(B89:B91)</f>
        <v/>
      </c>
    </row>
    <row r="93">
      <c r="A93" s="123" t="inlineStr">
        <is>
          <t>Alíquota de crédito — serviços de construção (fornecedor regular)</t>
        </is>
      </c>
      <c r="B93" s="126">
        <f>B40*(1-B34)</f>
        <v/>
      </c>
      <c r="F93" s="119" t="inlineStr">
        <is>
          <t>Serviço de construção também tem a redução de 50% do art. 261.</t>
        </is>
      </c>
    </row>
    <row r="94"/>
    <row r="95">
      <c r="A95" s="122" t="inlineStr">
        <is>
          <t>Créditos sobre despesas por categoria</t>
        </is>
      </c>
    </row>
    <row r="96">
      <c r="A96" s="127" t="inlineStr">
        <is>
          <t>Categoria</t>
        </is>
      </c>
      <c r="B96" s="127" t="inlineStr">
        <is>
          <t>Valor bruto</t>
        </is>
      </c>
      <c r="C96" s="127" t="inlineStr">
        <is>
          <t>Alíquota do fornecedor</t>
        </is>
      </c>
      <c r="D96" s="127" t="inlineStr">
        <is>
          <t>% da base com crédito</t>
        </is>
      </c>
      <c r="E96" s="127" t="inlineStr">
        <is>
          <t>Crédito IBS + CBS</t>
        </is>
      </c>
      <c r="F96" s="127" t="inlineStr">
        <is>
          <t>Fundamento / observação</t>
        </is>
      </c>
    </row>
    <row r="97">
      <c r="A97" s="123" t="inlineStr">
        <is>
          <t>Projetos e engenharia</t>
        </is>
      </c>
      <c r="B97" s="128">
        <f>B24</f>
        <v/>
      </c>
      <c r="C97" s="126">
        <f>B43</f>
        <v/>
      </c>
      <c r="D97" s="124" t="n">
        <v>0.9</v>
      </c>
      <c r="E97" s="128">
        <f>B97*D97*C97/(1+C97)</f>
        <v/>
      </c>
      <c r="F97" s="119" t="inlineStr">
        <is>
          <t>Profissão intelectual regulamentada: redução de 30% (art. 127).</t>
        </is>
      </c>
    </row>
    <row r="98">
      <c r="A98" s="123" t="inlineStr">
        <is>
          <t>Marketing e comercialização</t>
        </is>
      </c>
      <c r="B98" s="128">
        <f>B25</f>
        <v/>
      </c>
      <c r="C98" s="126">
        <f>B40</f>
        <v/>
      </c>
      <c r="D98" s="124" t="n">
        <v>0.8</v>
      </c>
      <c r="E98" s="128">
        <f>B98*D98*C98/(1+C98)</f>
        <v/>
      </c>
      <c r="F98" s="119" t="inlineStr">
        <is>
          <t>Parte da verba vai para fornecedores do Simples ou pessoa física.</t>
        </is>
      </c>
    </row>
    <row r="99">
      <c r="A99" s="123" t="inlineStr">
        <is>
          <t>Comissões de corretagem</t>
        </is>
      </c>
      <c r="B99" s="128">
        <f>B26</f>
        <v/>
      </c>
      <c r="C99" s="126">
        <f>B40*(1-B34)</f>
        <v/>
      </c>
      <c r="D99" s="124" t="n">
        <v>0.5</v>
      </c>
      <c r="E99" s="128">
        <f>B99*D99*C99/(1+C99)</f>
        <v/>
      </c>
      <c r="F99" s="119" t="inlineStr">
        <is>
          <t>Intermediação imobiliária: redução de 50% (art. 261); muitos corretores são PF ou Simples.</t>
        </is>
      </c>
    </row>
    <row r="100">
      <c r="A100" s="123" t="inlineStr">
        <is>
          <t>Administração central</t>
        </is>
      </c>
      <c r="B100" s="128">
        <f>B27</f>
        <v/>
      </c>
      <c r="C100" s="126">
        <f>B40</f>
        <v/>
      </c>
      <c r="D100" s="124" t="n">
        <v>0.2</v>
      </c>
      <c r="E100" s="128">
        <f>B100*D100*C100/(1+C100)</f>
        <v/>
      </c>
      <c r="F100" s="119" t="inlineStr">
        <is>
          <t>Predominantemente folha de pagamento, que não gera crédito.</t>
        </is>
      </c>
    </row>
    <row r="101">
      <c r="A101" s="123" t="inlineStr">
        <is>
          <t>Serviços jurídicos e cartórios</t>
        </is>
      </c>
      <c r="B101" s="128">
        <f>B28</f>
        <v/>
      </c>
      <c r="C101" s="126">
        <f>B43</f>
        <v/>
      </c>
      <c r="D101" s="124" t="n">
        <v>0.6</v>
      </c>
      <c r="E101" s="128">
        <f>B101*D101*C101/(1+C101)</f>
        <v/>
      </c>
      <c r="F101" s="119" t="inlineStr">
        <is>
          <t>Advocacia com redução de 30%; validar incidência sobre emolumentos.</t>
        </is>
      </c>
    </row>
    <row r="102">
      <c r="A102" s="122" t="inlineStr">
        <is>
          <t>Total</t>
        </is>
      </c>
      <c r="B102" s="129">
        <f>SUM(B97:B101)</f>
        <v/>
      </c>
      <c r="E102" s="129">
        <f>SUM(E97:E101)</f>
        <v/>
      </c>
    </row>
    <row r="103"/>
    <row r="104">
      <c r="A104" s="122" t="inlineStr">
        <is>
          <t>Tributos sobre a renda, transição e RET</t>
        </is>
      </c>
    </row>
    <row r="105">
      <c r="A105" s="123" t="inlineStr">
        <is>
          <t>Aplicar LC 224/2025 (presunção +10% sobre receita acima de R$ 5 mi/ano)?</t>
        </is>
      </c>
      <c r="B105" s="130" t="inlineStr">
        <is>
          <t>Sim</t>
        </is>
      </c>
      <c r="F105" s="119" t="inlineStr">
        <is>
          <t>Há liminares de TRFs suspendendo a majoração; use 'Não' para simular o cenário judicial.</t>
        </is>
      </c>
    </row>
    <row r="106">
      <c r="A106" s="123" t="inlineStr">
        <is>
          <t>Limite anual de receita da LC 224/2025</t>
        </is>
      </c>
      <c r="B106" s="131" t="n">
        <v>5000000</v>
      </c>
      <c r="F106" s="119" t="inlineStr">
        <is>
          <t>Proporcional: R$ 1,25 mi por trimestre, com saldo acumulado no ano.</t>
        </is>
      </c>
    </row>
    <row r="107">
      <c r="A107" s="123" t="inlineStr">
        <is>
          <t>Acréscimo relativo sobre o percentual de presunção</t>
        </is>
      </c>
      <c r="B107" s="124" t="n">
        <v>0.1</v>
      </c>
      <c r="F107" s="119" t="inlineStr">
        <is>
          <t>8% passa a 8,8% e 12% passa a 13,2% sobre o excedente.</t>
        </is>
      </c>
    </row>
    <row r="108">
      <c r="A108" s="123" t="inlineStr">
        <is>
          <t>Alíquota de referência da CBS</t>
        </is>
      </c>
      <c r="B108" s="124" t="n">
        <v>0.08799999999999999</v>
      </c>
      <c r="F108" s="119" t="inlineStr">
        <is>
          <t>Estimativa; atualizar quando a alíquota de referência for fixada.</t>
        </is>
      </c>
    </row>
    <row r="109">
      <c r="A109" s="123" t="inlineStr">
        <is>
          <t>Alíquota de referência do IBS</t>
        </is>
      </c>
      <c r="B109" s="126">
        <f>B33-B108</f>
        <v/>
      </c>
      <c r="F109" s="119" t="inlineStr">
        <is>
          <t>Alíquota combinada menos a CBS.</t>
        </is>
      </c>
    </row>
    <row r="110">
      <c r="A110" s="123" t="inlineStr">
        <is>
          <t>PIS + Cofins cumulativo (regime atual, 2026)</t>
        </is>
      </c>
      <c r="B110" s="132" t="n">
        <v>0.0365</v>
      </c>
      <c r="F110" s="119" t="inlineStr">
        <is>
          <t>Lucro Presumido: 0,65% + 3,00% sobre a receita recebida.</t>
        </is>
      </c>
    </row>
    <row r="111">
      <c r="A111" s="123" t="inlineStr">
        <is>
          <t>Incorporação de interesse social (RET de 1%)?</t>
        </is>
      </c>
      <c r="B111" s="130" t="inlineStr">
        <is>
          <t>Não</t>
        </is>
      </c>
      <c r="F111" s="119" t="inlineStr">
        <is>
          <t>Art. 485: 1% total (0,47% IRPJ/CSLL + 0,53% IBS/CBS).</t>
        </is>
      </c>
    </row>
    <row r="112">
      <c r="A112" s="123" t="inlineStr">
        <is>
          <t>Alíquota total do RET</t>
        </is>
      </c>
      <c r="B112" s="133">
        <f>IF(B111="Sim",0.01,0.04)</f>
        <v/>
      </c>
      <c r="F112" s="119" t="inlineStr">
        <is>
          <t>Sobre a receita mensal recebida; sem apropriação de créditos.</t>
        </is>
      </c>
    </row>
    <row r="113">
      <c r="A113" s="123" t="inlineStr">
        <is>
          <t>RET — parcela de IRPJ + CSLL</t>
        </is>
      </c>
      <c r="B113" s="133">
        <f>IF(B111="Sim",0.0047,0.0192)</f>
        <v/>
      </c>
      <c r="F113" s="119" t="inlineStr">
        <is>
          <t>Mesma parcela antes e depois de 2027.</t>
        </is>
      </c>
    </row>
    <row r="114">
      <c r="A114" s="123" t="inlineStr">
        <is>
          <t>RET — parcela de PIS/Cofins (2026) e IBS + CBS (2027 em diante)</t>
        </is>
      </c>
      <c r="B114" s="133">
        <f>B112-B113</f>
        <v/>
      </c>
      <c r="F114" s="119" t="inlineStr">
        <is>
          <t>Art. 485: 2,08% (ou 0,53%) para opção pelo RET efetivada antes de 01/01/2029.</t>
        </is>
      </c>
    </row>
    <row r="115">
      <c r="A115" s="123" t="inlineStr">
        <is>
          <t>Taxa de desconto para valor presente (a.a.)</t>
        </is>
      </c>
      <c r="B115" s="124" t="n">
        <v>0.12</v>
      </c>
      <c r="F115" s="119" t="inlineStr">
        <is>
          <t>Usada só no comparativo de regimes.</t>
        </is>
      </c>
    </row>
  </sheetData>
  <dataValidations count="2">
    <dataValidation sqref="B6" showDropDown="0" showInputMessage="0" showErrorMessage="0" allowBlank="0" type="list">
      <formula1>"Otimista,Base,Pessimista"</formula1>
      <formula2>0</formula2>
    </dataValidation>
    <dataValidation sqref="B105 B111" showDropDown="0" showInputMessage="0" showErrorMessage="0" allowBlank="0" type="list">
      <formula1>"Sim,Não"</formula1>
    </dataValidation>
  </dataValidation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113"/>
  <sheetViews>
    <sheetView showGridLines="0" topLeftCell="A78" zoomScale="80" zoomScaleNormal="80" workbookViewId="0">
      <selection activeCell="G8" sqref="G8"/>
    </sheetView>
  </sheetViews>
  <sheetFormatPr baseColWidth="8" defaultColWidth="8.5703125" defaultRowHeight="15"/>
  <cols>
    <col width="21.140625" customWidth="1" min="1" max="1"/>
    <col width="41.140625" customWidth="1" min="2" max="2"/>
    <col width="24.7109375" customWidth="1" min="3" max="3"/>
    <col width="25" customWidth="1" min="4" max="4"/>
    <col width="27.140625" customWidth="1" min="5" max="5"/>
    <col width="16" customWidth="1" min="6" max="6"/>
    <col width="18.7109375" customWidth="1" min="7" max="7"/>
    <col width="18" customWidth="1" min="8" max="8"/>
    <col width="22" customWidth="1" min="9" max="9"/>
    <col width="29" customWidth="1" min="10" max="10"/>
    <col width="23.5703125" customWidth="1" min="11" max="11"/>
    <col width="24" customWidth="1" min="12" max="12"/>
    <col width="34" customWidth="1" min="13" max="13"/>
    <col width="23.28515625" customWidth="1" min="14" max="14"/>
    <col width="44" customWidth="1" min="15" max="16"/>
    <col width="16" customWidth="1" min="17" max="17"/>
    <col width="20" customWidth="1" min="18" max="18"/>
    <col width="11" customWidth="1" min="19" max="19"/>
    <col width="20" customWidth="1" min="20" max="20"/>
    <col width="20" customWidth="1" min="21" max="21"/>
    <col width="20" customWidth="1" min="22" max="22"/>
  </cols>
  <sheetData>
    <row r="1" ht="24" customHeight="1">
      <c r="B1" s="1" t="inlineStr">
        <is>
          <t>Fluxo_Incorporacao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/>
    <row r="3">
      <c r="B3" s="96" t="inlineStr">
        <is>
          <t>Cronograma mensal de recebimentos, débito e créditos de IBS + CBS.</t>
        </is>
      </c>
    </row>
    <row r="4">
      <c r="B4" s="97" t="inlineStr">
        <is>
          <t>Valores em R$ nominais; 60 meses do cronograma financeiro.</t>
        </is>
      </c>
    </row>
    <row r="5"/>
    <row r="6" ht="15" customHeight="1">
      <c r="B6" s="28" t="inlineStr">
        <is>
          <t>Cenário ativo</t>
        </is>
      </c>
      <c r="C6" s="42">
        <f>'Premissas &amp; Cenários'!$B$6</f>
        <v/>
      </c>
      <c r="D6" s="9" t="n"/>
      <c r="E6" s="9" t="n"/>
    </row>
    <row r="7"/>
    <row r="8" ht="15" customHeight="1">
      <c r="B8" s="19" t="inlineStr">
        <is>
          <t>VGV total</t>
        </is>
      </c>
      <c r="C8" s="20">
        <f>'Premissas &amp; Cenários'!$G$55</f>
        <v/>
      </c>
    </row>
    <row r="9" ht="15" customHeight="1">
      <c r="B9" s="19" t="inlineStr">
        <is>
          <t>Permuta física</t>
        </is>
      </c>
      <c r="C9" s="21">
        <f>'Premissas &amp; Cenários'!$G$56</f>
        <v/>
      </c>
    </row>
    <row r="10" ht="15" customHeight="1">
      <c r="B10" s="19" t="inlineStr">
        <is>
          <t>VGV de vendas real tributável</t>
        </is>
      </c>
      <c r="C10" s="21">
        <f>'Premissas &amp; Cenários'!$G$60</f>
        <v/>
      </c>
    </row>
    <row r="11" ht="15" customHeight="1">
      <c r="B11" s="19" t="inlineStr">
        <is>
          <t>Número total de unidades</t>
        </is>
      </c>
      <c r="C11" s="21">
        <f>'Premissas &amp; Cenários'!$B$12</f>
        <v/>
      </c>
    </row>
    <row r="12" ht="15" customHeight="1">
      <c r="B12" s="19" t="inlineStr">
        <is>
          <t>Unidades de permuta estimadas</t>
        </is>
      </c>
      <c r="C12" s="21">
        <f>'Premissas &amp; Cenários'!$G$62</f>
        <v/>
      </c>
    </row>
    <row r="13" ht="15" customHeight="1">
      <c r="B13" s="19" t="inlineStr">
        <is>
          <t>Unidades vendidas tributáveis</t>
        </is>
      </c>
      <c r="C13" s="21">
        <f>'Premissas &amp; Cenários'!$G$63</f>
        <v/>
      </c>
    </row>
    <row r="14" ht="15" customHeight="1">
      <c r="B14" s="19" t="inlineStr">
        <is>
          <t>RAJ inicial do terreno</t>
        </is>
      </c>
      <c r="C14" s="21">
        <f>'Premissas &amp; Cenários'!$G$57</f>
        <v/>
      </c>
    </row>
    <row r="15" ht="15" customHeight="1">
      <c r="B15" s="19" t="inlineStr">
        <is>
          <t>Alíquota padrão combinada</t>
        </is>
      </c>
      <c r="C15" s="43">
        <f>'Premissas &amp; Cenários'!$B$33</f>
        <v/>
      </c>
    </row>
    <row r="16" ht="15" customHeight="1">
      <c r="B16" s="19" t="inlineStr">
        <is>
          <t>Redução imobiliária</t>
        </is>
      </c>
      <c r="C16" s="43">
        <f>'Premissas &amp; Cenários'!$B$34</f>
        <v/>
      </c>
    </row>
    <row r="17" ht="15" customHeight="1">
      <c r="B17" s="19" t="inlineStr">
        <is>
          <t>Alíquota efetiva plena</t>
        </is>
      </c>
      <c r="C17" s="43">
        <f>'Premissas &amp; Cenários'!$B$35</f>
        <v/>
      </c>
    </row>
    <row r="18" ht="15" customHeight="1">
      <c r="B18" s="19" t="inlineStr">
        <is>
          <t>Redutor social residencial novo</t>
        </is>
      </c>
      <c r="C18" s="21">
        <f>'Premissas &amp; Cenários'!$B$38</f>
        <v/>
      </c>
    </row>
    <row r="19" ht="15" customHeight="1">
      <c r="B19" s="19" t="inlineStr">
        <is>
          <t>Redutor social lote residencial</t>
        </is>
      </c>
      <c r="C19" s="21">
        <f>'Premissas &amp; Cenários'!$B$39</f>
        <v/>
      </c>
    </row>
    <row r="20" ht="15" customHeight="1">
      <c r="B20" s="19" t="inlineStr">
        <is>
          <t>Custo de obra</t>
        </is>
      </c>
      <c r="C20" s="21">
        <f>'Premissas &amp; Cenários'!$G$58</f>
        <v/>
      </c>
    </row>
    <row r="21" ht="15" customHeight="1">
      <c r="B21" s="19" t="inlineStr">
        <is>
          <t>Participação Simples Nacional</t>
        </is>
      </c>
      <c r="C21" s="43">
        <f>'Premissas &amp; Cenários'!$G$59</f>
        <v/>
      </c>
    </row>
    <row r="22" ht="15" customHeight="1">
      <c r="B22" s="19" t="inlineStr">
        <is>
          <t>Alíquota média crédito obra</t>
        </is>
      </c>
      <c r="C22" s="43">
        <f>'Premissas &amp; Cenários'!$G$65</f>
        <v/>
      </c>
    </row>
    <row r="23" ht="15" customHeight="1">
      <c r="B23" s="19" t="inlineStr">
        <is>
          <t>Alíquota média crédito despesas</t>
        </is>
      </c>
      <c r="C23" s="43">
        <f>'Premissas &amp; Cenários'!$G$66</f>
        <v/>
      </c>
    </row>
    <row r="24"/>
    <row r="25"/>
    <row r="26" ht="15" customHeight="1">
      <c r="B26" s="8" t="inlineStr">
        <is>
          <t>Memória de cálculo consolidada do IVA</t>
        </is>
      </c>
      <c r="C26" s="9" t="n"/>
      <c r="D26" s="9" t="n"/>
      <c r="E26" s="9" t="n"/>
    </row>
    <row r="27" ht="15" customHeight="1">
      <c r="B27" s="19" t="inlineStr">
        <is>
          <t>VGV de vendas real tributável</t>
        </is>
      </c>
      <c r="C27" s="38">
        <f>C10</f>
        <v/>
      </c>
    </row>
    <row r="28" ht="15" customHeight="1">
      <c r="B28" s="19" t="inlineStr">
        <is>
          <t>RAJ efetivo do terreno</t>
        </is>
      </c>
      <c r="C28" s="33">
        <f>MIN(C27,C14)</f>
        <v/>
      </c>
    </row>
    <row r="29" ht="15" customHeight="1">
      <c r="B29" s="19" t="inlineStr">
        <is>
          <t>Base parcial após RAJ</t>
        </is>
      </c>
      <c r="C29" s="33">
        <f>MAX(0,C27-C28)</f>
        <v/>
      </c>
    </row>
    <row r="30" ht="30" customHeight="1">
      <c r="B30" s="19" t="inlineStr">
        <is>
          <t>Redutor social total</t>
        </is>
      </c>
      <c r="C30" s="44">
        <f>MIN(C29,C13*IF('Premissas &amp; Cenários'!$B$13="Residencial Novo",C18,IF('Premissas &amp; Cenários'!$B$13="Lote Residencial",C19,0)))</f>
        <v/>
      </c>
    </row>
    <row r="31" ht="15" customHeight="1">
      <c r="B31" s="10" t="inlineStr">
        <is>
          <t>Base de cálculo tributável final</t>
        </is>
      </c>
      <c r="C31" s="35">
        <f>MAX(0,C29-C30)</f>
        <v/>
      </c>
    </row>
    <row r="32" ht="15" customHeight="1">
      <c r="B32" s="19" t="inlineStr">
        <is>
          <t>Proporção tributável do preço de venda</t>
        </is>
      </c>
      <c r="C32" s="36">
        <f>IFERROR(C31/C27,0)</f>
        <v/>
      </c>
    </row>
    <row r="33" ht="30" customHeight="1">
      <c r="B33" s="10" t="inlineStr">
        <is>
          <t>Débito total IBS + CBS (tributo embutido no preço)</t>
        </is>
      </c>
      <c r="C33" s="45">
        <f>IF('Matriz Normativa &amp; Governança'!$C$8="Alíquota plena — sensibilidade",C31*C17/(1+C17),IF(COUNTIF(P43:P102,"PENDENTE")&gt;0,"",SUM(D43:D102)))</f>
        <v/>
      </c>
    </row>
    <row r="34" ht="15" customHeight="1">
      <c r="B34" s="19" t="inlineStr">
        <is>
          <t>Créditos totais de obra</t>
        </is>
      </c>
      <c r="C34" s="21">
        <f>SUM(F43:F102)</f>
        <v/>
      </c>
    </row>
    <row r="35" ht="15" customHeight="1">
      <c r="B35" s="19" t="inlineStr">
        <is>
          <t>Créditos totais de despesas</t>
        </is>
      </c>
      <c r="C35" s="21">
        <f>SUM(H43:H102)</f>
        <v/>
      </c>
    </row>
    <row r="36" ht="15" customHeight="1">
      <c r="B36" s="10" t="inlineStr">
        <is>
          <t>Créditos totais do projeto</t>
        </is>
      </c>
      <c r="C36" s="35">
        <f>SUM(C34:C35)</f>
        <v/>
      </c>
    </row>
    <row r="37" ht="15" customHeight="1">
      <c r="B37" s="10" t="inlineStr">
        <is>
          <t>Saldo credor final</t>
        </is>
      </c>
      <c r="C37" s="46">
        <f>IF(C33="","",MAX(0,C36-C33))</f>
        <v/>
      </c>
    </row>
    <row r="38" ht="15" customHeight="1">
      <c r="B38" s="10" t="inlineStr">
        <is>
          <t>Imposto líquido a pagar</t>
        </is>
      </c>
      <c r="C38" s="46">
        <f>IF(C33="","",MAX(0,C33-C36))</f>
        <v/>
      </c>
    </row>
    <row r="39" ht="15" customHeight="1">
      <c r="B39" s="10" t="inlineStr">
        <is>
          <t>Check IVA</t>
        </is>
      </c>
      <c r="C39" s="46">
        <f>IF(C33="","",C33-C36-C38+C37)</f>
        <v/>
      </c>
    </row>
    <row r="40">
      <c r="B40" s="10" t="inlineStr">
        <is>
          <t>PIS/Cofins do regime atual (2026, modo transição)</t>
        </is>
      </c>
      <c r="C40" s="46">
        <f>R103</f>
        <v/>
      </c>
    </row>
    <row r="41" ht="15" customHeight="1" thickBot="1">
      <c r="A41" s="8" t="inlineStr">
        <is>
          <t>Cronograma mensal de caixa tributário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 ht="36" customHeight="1" thickBot="1">
      <c r="A42" s="18" t="inlineStr">
        <is>
          <t>Mês</t>
        </is>
      </c>
      <c r="B42" s="18" t="inlineStr">
        <is>
          <t>Recebimentos</t>
        </is>
      </c>
      <c r="C42" s="18" t="inlineStr">
        <is>
          <t>Base proporcional</t>
        </is>
      </c>
      <c r="D42" s="18" t="inlineStr">
        <is>
          <t>Débito IBS + CBS</t>
        </is>
      </c>
      <c r="E42" s="18" t="inlineStr">
        <is>
          <t>Custo de obra</t>
        </is>
      </c>
      <c r="F42" s="18" t="inlineStr">
        <is>
          <t>Crédito obra</t>
        </is>
      </c>
      <c r="G42" s="18" t="inlineStr">
        <is>
          <t>Despesas op. e vendas</t>
        </is>
      </c>
      <c r="H42" s="18" t="inlineStr">
        <is>
          <t>Crédito despesas</t>
        </is>
      </c>
      <c r="I42" s="18" t="inlineStr">
        <is>
          <t>Saldo credor inicial</t>
        </is>
      </c>
      <c r="J42" s="18" t="inlineStr">
        <is>
          <t>Imposto a recolher</t>
        </is>
      </c>
      <c r="K42" s="18" t="inlineStr">
        <is>
          <t>Saldo credor final</t>
        </is>
      </c>
      <c r="L42" s="18" t="inlineStr">
        <is>
          <t>Imposto pago acumulado</t>
        </is>
      </c>
      <c r="M42" s="18" t="inlineStr">
        <is>
          <t>Débito por competência acumulado</t>
        </is>
      </c>
      <c r="N42" s="18" t="inlineStr">
        <is>
          <t>Ano</t>
        </is>
      </c>
      <c r="O42" s="18" t="inlineStr">
        <is>
          <t>Alíquota consultiva</t>
        </is>
      </c>
      <c r="P42" s="18" t="inlineStr">
        <is>
          <t>Status transição</t>
        </is>
      </c>
      <c r="Q42" s="18" t="inlineStr">
        <is>
          <t>Fator de crédito do ano</t>
        </is>
      </c>
      <c r="R42" s="18" t="inlineStr">
        <is>
          <t>PIS/Cofins regime atual</t>
        </is>
      </c>
      <c r="S42" s="18" t="inlineStr">
        <is>
          <t>Trimestre</t>
        </is>
      </c>
      <c r="T42" s="18" t="inlineStr">
        <is>
          <t>Débito por R$ recebido</t>
        </is>
      </c>
      <c r="U42" s="18" t="inlineStr">
        <is>
          <t>Obra × fator de crédito</t>
        </is>
      </c>
      <c r="V42" s="18" t="inlineStr">
        <is>
          <t>Despesas × fator de crédito</t>
        </is>
      </c>
    </row>
    <row r="43" ht="30" customHeight="1">
      <c r="A43" s="31" t="n">
        <v>1</v>
      </c>
      <c r="B43" s="44">
        <f>IF(A43=1,$C$27*'Premissas &amp; Cenários'!$B$19,IF(A43='Premissas &amp; Cenários'!$B$18,$C$27*'Premissas &amp; Cenários'!$B$21,IF(AND(A43&gt;1,A43&lt;'Premissas &amp; Cenários'!$B$18),$C$27*'Premissas &amp; Cenários'!$B$20/'Premissas &amp; Cenários'!$B$17,0)))</f>
        <v/>
      </c>
      <c r="C43" s="33">
        <f>B43*$C$32</f>
        <v/>
      </c>
      <c r="D43" s="44">
        <f>IF('Matriz Normativa &amp; Governança'!$C$8="Alíquota plena — sensibilidade",C43*$C$17/(1+$C$17),IF(O43="","",C43*O43/(1+O43)))</f>
        <v/>
      </c>
      <c r="E43" s="44">
        <f>IF(AND(A43&gt;='Premissas &amp; Cenários'!$B$14,A43&lt;='Premissas &amp; Cenários'!$B$15),$C$20/'Premissas &amp; Cenários'!$B$17,0)</f>
        <v/>
      </c>
      <c r="F43" s="33">
        <f>E43*$C$22*Q43</f>
        <v/>
      </c>
      <c r="G43" s="44">
        <f>IFERROR('Premissas &amp; Cenários'!$B$22/'Premissas &amp; Cenários'!$B$18,0)</f>
        <v/>
      </c>
      <c r="H43" s="33">
        <f>G43*$C$23*Q43</f>
        <v/>
      </c>
      <c r="I43" s="33">
        <f>0</f>
        <v/>
      </c>
      <c r="J43" s="33">
        <f>MAX(0,D43-F43-H43-I43)</f>
        <v/>
      </c>
      <c r="K43" s="33">
        <f>MAX(0,I43+F43+H43-D43)</f>
        <v/>
      </c>
      <c r="L43" s="33">
        <f>J43</f>
        <v/>
      </c>
      <c r="M43" s="33">
        <f>SUM($D$43:D43)</f>
        <v/>
      </c>
      <c r="N43" s="44">
        <f>IF(A43&lt;=12,'Premissas &amp; Cenários'!$B$50,IF(A43&lt;=24,'Premissas &amp; Cenários'!$B$50+1,IF(A43&lt;=36,'Premissas &amp; Cenários'!$B$50+2,IF(A43&lt;=48,'Premissas &amp; Cenários'!$B$50+3,'Premissas &amp; Cenários'!$B$50+4))))</f>
        <v/>
      </c>
      <c r="O43" s="47">
        <f>IFERROR(INDEX('Transição Tributária'!$G$13:$G$20,MATCH(N43,'Transição Tributária'!$A$13:$A$20,0)),"")</f>
        <v/>
      </c>
      <c r="P43" s="48">
        <f>IF(O43="","PENDENTE",IFERROR(INDEX('Transição Tributária'!$I$13:$I$20,MATCH(N43,'Transição Tributária'!$A$13:$A$20,0)),"PENDENTE"))</f>
        <v/>
      </c>
      <c r="Q43" s="47">
        <f>IF('Matriz Normativa &amp; Governança'!$C$8="Alíquota plena — sensibilidade",1,IFERROR(INDEX('Transição Tributária'!$L$13:$L$20,MATCH(N43,'Transição Tributária'!$A$13:$A$20,0)),0))</f>
        <v/>
      </c>
      <c r="R43" s="33">
        <f>IF('Matriz Normativa &amp; Governança'!$C$8="Alíquota plena — sensibilidade",0,B43*IFERROR(INDEX('Transição Tributária'!$K$13:$K$20,MATCH(N43,'Transição Tributária'!$A$13:$A$20,0)),0))</f>
        <v/>
      </c>
      <c r="S43" s="44">
        <f>ROUNDUP(A43/3,0)</f>
        <v/>
      </c>
      <c r="T43" s="33">
        <f>IF('Matriz Normativa &amp; Governança'!$C$8="Alíquota plena — sensibilidade",B43*$C$17/(1+$C$17),IF(O43="",0,B43*O43/(1+O43)))</f>
        <v/>
      </c>
      <c r="U43" s="33">
        <f>E43*Q43</f>
        <v/>
      </c>
      <c r="V43" s="33">
        <f>G43*Q43</f>
        <v/>
      </c>
    </row>
    <row r="44" ht="30" customHeight="1">
      <c r="A44" s="31" t="n">
        <v>2</v>
      </c>
      <c r="B44" s="44">
        <f>IF(A44=1,$C$27*'Premissas &amp; Cenários'!$B$19,IF(A44='Premissas &amp; Cenários'!$B$18,$C$27*'Premissas &amp; Cenários'!$B$21,IF(AND(A44&gt;1,A44&lt;'Premissas &amp; Cenários'!$B$18),$C$27*'Premissas &amp; Cenários'!$B$20/'Premissas &amp; Cenários'!$B$17,0)))</f>
        <v/>
      </c>
      <c r="C44" s="33">
        <f>B44*$C$32</f>
        <v/>
      </c>
      <c r="D44" s="44">
        <f>IF('Matriz Normativa &amp; Governança'!$C$8="Alíquota plena — sensibilidade",C44*$C$17/(1+$C$17),IF(O44="","",C44*O44/(1+O44)))</f>
        <v/>
      </c>
      <c r="E44" s="44">
        <f>IF(AND(A44&gt;='Premissas &amp; Cenários'!$B$14,A44&lt;='Premissas &amp; Cenários'!$B$15),$C$20/'Premissas &amp; Cenários'!$B$17,0)</f>
        <v/>
      </c>
      <c r="F44" s="33">
        <f>E44*$C$22*Q44</f>
        <v/>
      </c>
      <c r="G44" s="44">
        <f>IFERROR('Premissas &amp; Cenários'!$B$22/'Premissas &amp; Cenários'!$B$18,0)</f>
        <v/>
      </c>
      <c r="H44" s="33">
        <f>G44*$C$23*Q44</f>
        <v/>
      </c>
      <c r="I44" s="33">
        <f>K43</f>
        <v/>
      </c>
      <c r="J44" s="33">
        <f>MAX(0,D44-F44-H44-I44)</f>
        <v/>
      </c>
      <c r="K44" s="33">
        <f>MAX(0,I44+F44+H44-D44)</f>
        <v/>
      </c>
      <c r="L44" s="33">
        <f>L43+J44</f>
        <v/>
      </c>
      <c r="M44" s="33">
        <f>SUM($D$43:D44)</f>
        <v/>
      </c>
      <c r="N44" s="44">
        <f>IF(A44&lt;=12,'Premissas &amp; Cenários'!$B$50,IF(A44&lt;=24,'Premissas &amp; Cenários'!$B$50+1,IF(A44&lt;=36,'Premissas &amp; Cenários'!$B$50+2,IF(A44&lt;=48,'Premissas &amp; Cenários'!$B$50+3,'Premissas &amp; Cenários'!$B$50+4))))</f>
        <v/>
      </c>
      <c r="O44" s="47">
        <f>IFERROR(INDEX('Transição Tributária'!$G$13:$G$20,MATCH(N44,'Transição Tributária'!$A$13:$A$20,0)),"")</f>
        <v/>
      </c>
      <c r="P44" s="48">
        <f>IF(O44="","PENDENTE",IFERROR(INDEX('Transição Tributária'!$I$13:$I$20,MATCH(N44,'Transição Tributária'!$A$13:$A$20,0)),"PENDENTE"))</f>
        <v/>
      </c>
      <c r="Q44" s="47">
        <f>IF('Matriz Normativa &amp; Governança'!$C$8="Alíquota plena — sensibilidade",1,IFERROR(INDEX('Transição Tributária'!$L$13:$L$20,MATCH(N44,'Transição Tributária'!$A$13:$A$20,0)),0))</f>
        <v/>
      </c>
      <c r="R44" s="33">
        <f>IF('Matriz Normativa &amp; Governança'!$C$8="Alíquota plena — sensibilidade",0,B44*IFERROR(INDEX('Transição Tributária'!$K$13:$K$20,MATCH(N44,'Transição Tributária'!$A$13:$A$20,0)),0))</f>
        <v/>
      </c>
      <c r="S44" s="44">
        <f>ROUNDUP(A44/3,0)</f>
        <v/>
      </c>
      <c r="T44" s="33">
        <f>IF('Matriz Normativa &amp; Governança'!$C$8="Alíquota plena — sensibilidade",B44*$C$17/(1+$C$17),IF(O44="",0,B44*O44/(1+O44)))</f>
        <v/>
      </c>
      <c r="U44" s="33">
        <f>E44*Q44</f>
        <v/>
      </c>
      <c r="V44" s="33">
        <f>G44*Q44</f>
        <v/>
      </c>
    </row>
    <row r="45" ht="30" customHeight="1">
      <c r="A45" s="31" t="n">
        <v>3</v>
      </c>
      <c r="B45" s="44">
        <f>IF(A45=1,$C$27*'Premissas &amp; Cenários'!$B$19,IF(A45='Premissas &amp; Cenários'!$B$18,$C$27*'Premissas &amp; Cenários'!$B$21,IF(AND(A45&gt;1,A45&lt;'Premissas &amp; Cenários'!$B$18),$C$27*'Premissas &amp; Cenários'!$B$20/'Premissas &amp; Cenários'!$B$17,0)))</f>
        <v/>
      </c>
      <c r="C45" s="33">
        <f>B45*$C$32</f>
        <v/>
      </c>
      <c r="D45" s="44">
        <f>IF('Matriz Normativa &amp; Governança'!$C$8="Alíquota plena — sensibilidade",C45*$C$17/(1+$C$17),IF(O45="","",C45*O45/(1+O45)))</f>
        <v/>
      </c>
      <c r="E45" s="44">
        <f>IF(AND(A45&gt;='Premissas &amp; Cenários'!$B$14,A45&lt;='Premissas &amp; Cenários'!$B$15),$C$20/'Premissas &amp; Cenários'!$B$17,0)</f>
        <v/>
      </c>
      <c r="F45" s="33">
        <f>E45*$C$22*Q45</f>
        <v/>
      </c>
      <c r="G45" s="44">
        <f>IFERROR('Premissas &amp; Cenários'!$B$22/'Premissas &amp; Cenários'!$B$18,0)</f>
        <v/>
      </c>
      <c r="H45" s="33">
        <f>G45*$C$23*Q45</f>
        <v/>
      </c>
      <c r="I45" s="33">
        <f>K44</f>
        <v/>
      </c>
      <c r="J45" s="33">
        <f>MAX(0,D45-F45-H45-I45)</f>
        <v/>
      </c>
      <c r="K45" s="33">
        <f>MAX(0,I45+F45+H45-D45)</f>
        <v/>
      </c>
      <c r="L45" s="33">
        <f>L44+J45</f>
        <v/>
      </c>
      <c r="M45" s="33">
        <f>SUM($D$43:D45)</f>
        <v/>
      </c>
      <c r="N45" s="44">
        <f>IF(A45&lt;=12,'Premissas &amp; Cenários'!$B$50,IF(A45&lt;=24,'Premissas &amp; Cenários'!$B$50+1,IF(A45&lt;=36,'Premissas &amp; Cenários'!$B$50+2,IF(A45&lt;=48,'Premissas &amp; Cenários'!$B$50+3,'Premissas &amp; Cenários'!$B$50+4))))</f>
        <v/>
      </c>
      <c r="O45" s="47">
        <f>IFERROR(INDEX('Transição Tributária'!$G$13:$G$20,MATCH(N45,'Transição Tributária'!$A$13:$A$20,0)),"")</f>
        <v/>
      </c>
      <c r="P45" s="48">
        <f>IF(O45="","PENDENTE",IFERROR(INDEX('Transição Tributária'!$I$13:$I$20,MATCH(N45,'Transição Tributária'!$A$13:$A$20,0)),"PENDENTE"))</f>
        <v/>
      </c>
      <c r="Q45" s="47">
        <f>IF('Matriz Normativa &amp; Governança'!$C$8="Alíquota plena — sensibilidade",1,IFERROR(INDEX('Transição Tributária'!$L$13:$L$20,MATCH(N45,'Transição Tributária'!$A$13:$A$20,0)),0))</f>
        <v/>
      </c>
      <c r="R45" s="33">
        <f>IF('Matriz Normativa &amp; Governança'!$C$8="Alíquota plena — sensibilidade",0,B45*IFERROR(INDEX('Transição Tributária'!$K$13:$K$20,MATCH(N45,'Transição Tributária'!$A$13:$A$20,0)),0))</f>
        <v/>
      </c>
      <c r="S45" s="44">
        <f>ROUNDUP(A45/3,0)</f>
        <v/>
      </c>
      <c r="T45" s="33">
        <f>IF('Matriz Normativa &amp; Governança'!$C$8="Alíquota plena — sensibilidade",B45*$C$17/(1+$C$17),IF(O45="",0,B45*O45/(1+O45)))</f>
        <v/>
      </c>
      <c r="U45" s="33">
        <f>E45*Q45</f>
        <v/>
      </c>
      <c r="V45" s="33">
        <f>G45*Q45</f>
        <v/>
      </c>
    </row>
    <row r="46" ht="30" customHeight="1">
      <c r="A46" s="31" t="n">
        <v>4</v>
      </c>
      <c r="B46" s="44">
        <f>IF(A46=1,$C$27*'Premissas &amp; Cenários'!$B$19,IF(A46='Premissas &amp; Cenários'!$B$18,$C$27*'Premissas &amp; Cenários'!$B$21,IF(AND(A46&gt;1,A46&lt;'Premissas &amp; Cenários'!$B$18),$C$27*'Premissas &amp; Cenários'!$B$20/'Premissas &amp; Cenários'!$B$17,0)))</f>
        <v/>
      </c>
      <c r="C46" s="33">
        <f>B46*$C$32</f>
        <v/>
      </c>
      <c r="D46" s="44">
        <f>IF('Matriz Normativa &amp; Governança'!$C$8="Alíquota plena — sensibilidade",C46*$C$17/(1+$C$17),IF(O46="","",C46*O46/(1+O46)))</f>
        <v/>
      </c>
      <c r="E46" s="44">
        <f>IF(AND(A46&gt;='Premissas &amp; Cenários'!$B$14,A46&lt;='Premissas &amp; Cenários'!$B$15),$C$20/'Premissas &amp; Cenários'!$B$17,0)</f>
        <v/>
      </c>
      <c r="F46" s="33">
        <f>E46*$C$22*Q46</f>
        <v/>
      </c>
      <c r="G46" s="44">
        <f>IFERROR('Premissas &amp; Cenários'!$B$22/'Premissas &amp; Cenários'!$B$18,0)</f>
        <v/>
      </c>
      <c r="H46" s="33">
        <f>G46*$C$23*Q46</f>
        <v/>
      </c>
      <c r="I46" s="33">
        <f>K45</f>
        <v/>
      </c>
      <c r="J46" s="33">
        <f>MAX(0,D46-F46-H46-I46)</f>
        <v/>
      </c>
      <c r="K46" s="33">
        <f>MAX(0,I46+F46+H46-D46)</f>
        <v/>
      </c>
      <c r="L46" s="33">
        <f>L45+J46</f>
        <v/>
      </c>
      <c r="M46" s="33">
        <f>SUM($D$43:D46)</f>
        <v/>
      </c>
      <c r="N46" s="44">
        <f>IF(A46&lt;=12,'Premissas &amp; Cenários'!$B$50,IF(A46&lt;=24,'Premissas &amp; Cenários'!$B$50+1,IF(A46&lt;=36,'Premissas &amp; Cenários'!$B$50+2,IF(A46&lt;=48,'Premissas &amp; Cenários'!$B$50+3,'Premissas &amp; Cenários'!$B$50+4))))</f>
        <v/>
      </c>
      <c r="O46" s="47">
        <f>IFERROR(INDEX('Transição Tributária'!$G$13:$G$20,MATCH(N46,'Transição Tributária'!$A$13:$A$20,0)),"")</f>
        <v/>
      </c>
      <c r="P46" s="48">
        <f>IF(O46="","PENDENTE",IFERROR(INDEX('Transição Tributária'!$I$13:$I$20,MATCH(N46,'Transição Tributária'!$A$13:$A$20,0)),"PENDENTE"))</f>
        <v/>
      </c>
      <c r="Q46" s="47">
        <f>IF('Matriz Normativa &amp; Governança'!$C$8="Alíquota plena — sensibilidade",1,IFERROR(INDEX('Transição Tributária'!$L$13:$L$20,MATCH(N46,'Transição Tributária'!$A$13:$A$20,0)),0))</f>
        <v/>
      </c>
      <c r="R46" s="33">
        <f>IF('Matriz Normativa &amp; Governança'!$C$8="Alíquota plena — sensibilidade",0,B46*IFERROR(INDEX('Transição Tributária'!$K$13:$K$20,MATCH(N46,'Transição Tributária'!$A$13:$A$20,0)),0))</f>
        <v/>
      </c>
      <c r="S46" s="44">
        <f>ROUNDUP(A46/3,0)</f>
        <v/>
      </c>
      <c r="T46" s="33">
        <f>IF('Matriz Normativa &amp; Governança'!$C$8="Alíquota plena — sensibilidade",B46*$C$17/(1+$C$17),IF(O46="",0,B46*O46/(1+O46)))</f>
        <v/>
      </c>
      <c r="U46" s="33">
        <f>E46*Q46</f>
        <v/>
      </c>
      <c r="V46" s="33">
        <f>G46*Q46</f>
        <v/>
      </c>
    </row>
    <row r="47" ht="30" customHeight="1">
      <c r="A47" s="31" t="n">
        <v>5</v>
      </c>
      <c r="B47" s="44">
        <f>IF(A47=1,$C$27*'Premissas &amp; Cenários'!$B$19,IF(A47='Premissas &amp; Cenários'!$B$18,$C$27*'Premissas &amp; Cenários'!$B$21,IF(AND(A47&gt;1,A47&lt;'Premissas &amp; Cenários'!$B$18),$C$27*'Premissas &amp; Cenários'!$B$20/'Premissas &amp; Cenários'!$B$17,0)))</f>
        <v/>
      </c>
      <c r="C47" s="33">
        <f>B47*$C$32</f>
        <v/>
      </c>
      <c r="D47" s="44">
        <f>IF('Matriz Normativa &amp; Governança'!$C$8="Alíquota plena — sensibilidade",C47*$C$17/(1+$C$17),IF(O47="","",C47*O47/(1+O47)))</f>
        <v/>
      </c>
      <c r="E47" s="44">
        <f>IF(AND(A47&gt;='Premissas &amp; Cenários'!$B$14,A47&lt;='Premissas &amp; Cenários'!$B$15),$C$20/'Premissas &amp; Cenários'!$B$17,0)</f>
        <v/>
      </c>
      <c r="F47" s="33">
        <f>E47*$C$22*Q47</f>
        <v/>
      </c>
      <c r="G47" s="44">
        <f>IFERROR('Premissas &amp; Cenários'!$B$22/'Premissas &amp; Cenários'!$B$18,0)</f>
        <v/>
      </c>
      <c r="H47" s="33">
        <f>G47*$C$23*Q47</f>
        <v/>
      </c>
      <c r="I47" s="33">
        <f>K46</f>
        <v/>
      </c>
      <c r="J47" s="33">
        <f>MAX(0,D47-F47-H47-I47)</f>
        <v/>
      </c>
      <c r="K47" s="33">
        <f>MAX(0,I47+F47+H47-D47)</f>
        <v/>
      </c>
      <c r="L47" s="33">
        <f>L46+J47</f>
        <v/>
      </c>
      <c r="M47" s="33">
        <f>SUM($D$43:D47)</f>
        <v/>
      </c>
      <c r="N47" s="44">
        <f>IF(A47&lt;=12,'Premissas &amp; Cenários'!$B$50,IF(A47&lt;=24,'Premissas &amp; Cenários'!$B$50+1,IF(A47&lt;=36,'Premissas &amp; Cenários'!$B$50+2,IF(A47&lt;=48,'Premissas &amp; Cenários'!$B$50+3,'Premissas &amp; Cenários'!$B$50+4))))</f>
        <v/>
      </c>
      <c r="O47" s="47">
        <f>IFERROR(INDEX('Transição Tributária'!$G$13:$G$20,MATCH(N47,'Transição Tributária'!$A$13:$A$20,0)),"")</f>
        <v/>
      </c>
      <c r="P47" s="48">
        <f>IF(O47="","PENDENTE",IFERROR(INDEX('Transição Tributária'!$I$13:$I$20,MATCH(N47,'Transição Tributária'!$A$13:$A$20,0)),"PENDENTE"))</f>
        <v/>
      </c>
      <c r="Q47" s="47">
        <f>IF('Matriz Normativa &amp; Governança'!$C$8="Alíquota plena — sensibilidade",1,IFERROR(INDEX('Transição Tributária'!$L$13:$L$20,MATCH(N47,'Transição Tributária'!$A$13:$A$20,0)),0))</f>
        <v/>
      </c>
      <c r="R47" s="33">
        <f>IF('Matriz Normativa &amp; Governança'!$C$8="Alíquota plena — sensibilidade",0,B47*IFERROR(INDEX('Transição Tributária'!$K$13:$K$20,MATCH(N47,'Transição Tributária'!$A$13:$A$20,0)),0))</f>
        <v/>
      </c>
      <c r="S47" s="44">
        <f>ROUNDUP(A47/3,0)</f>
        <v/>
      </c>
      <c r="T47" s="33">
        <f>IF('Matriz Normativa &amp; Governança'!$C$8="Alíquota plena — sensibilidade",B47*$C$17/(1+$C$17),IF(O47="",0,B47*O47/(1+O47)))</f>
        <v/>
      </c>
      <c r="U47" s="33">
        <f>E47*Q47</f>
        <v/>
      </c>
      <c r="V47" s="33">
        <f>G47*Q47</f>
        <v/>
      </c>
    </row>
    <row r="48" ht="30" customHeight="1">
      <c r="A48" s="31" t="n">
        <v>6</v>
      </c>
      <c r="B48" s="44">
        <f>IF(A48=1,$C$27*'Premissas &amp; Cenários'!$B$19,IF(A48='Premissas &amp; Cenários'!$B$18,$C$27*'Premissas &amp; Cenários'!$B$21,IF(AND(A48&gt;1,A48&lt;'Premissas &amp; Cenários'!$B$18),$C$27*'Premissas &amp; Cenários'!$B$20/'Premissas &amp; Cenários'!$B$17,0)))</f>
        <v/>
      </c>
      <c r="C48" s="33">
        <f>B48*$C$32</f>
        <v/>
      </c>
      <c r="D48" s="44">
        <f>IF('Matriz Normativa &amp; Governança'!$C$8="Alíquota plena — sensibilidade",C48*$C$17/(1+$C$17),IF(O48="","",C48*O48/(1+O48)))</f>
        <v/>
      </c>
      <c r="E48" s="44">
        <f>IF(AND(A48&gt;='Premissas &amp; Cenários'!$B$14,A48&lt;='Premissas &amp; Cenários'!$B$15),$C$20/'Premissas &amp; Cenários'!$B$17,0)</f>
        <v/>
      </c>
      <c r="F48" s="33">
        <f>E48*$C$22*Q48</f>
        <v/>
      </c>
      <c r="G48" s="44">
        <f>IFERROR('Premissas &amp; Cenários'!$B$22/'Premissas &amp; Cenários'!$B$18,0)</f>
        <v/>
      </c>
      <c r="H48" s="33">
        <f>G48*$C$23*Q48</f>
        <v/>
      </c>
      <c r="I48" s="33">
        <f>K47</f>
        <v/>
      </c>
      <c r="J48" s="33">
        <f>MAX(0,D48-F48-H48-I48)</f>
        <v/>
      </c>
      <c r="K48" s="33">
        <f>MAX(0,I48+F48+H48-D48)</f>
        <v/>
      </c>
      <c r="L48" s="33">
        <f>L47+J48</f>
        <v/>
      </c>
      <c r="M48" s="33">
        <f>SUM($D$43:D48)</f>
        <v/>
      </c>
      <c r="N48" s="44">
        <f>IF(A48&lt;=12,'Premissas &amp; Cenários'!$B$50,IF(A48&lt;=24,'Premissas &amp; Cenários'!$B$50+1,IF(A48&lt;=36,'Premissas &amp; Cenários'!$B$50+2,IF(A48&lt;=48,'Premissas &amp; Cenários'!$B$50+3,'Premissas &amp; Cenários'!$B$50+4))))</f>
        <v/>
      </c>
      <c r="O48" s="47">
        <f>IFERROR(INDEX('Transição Tributária'!$G$13:$G$20,MATCH(N48,'Transição Tributária'!$A$13:$A$20,0)),"")</f>
        <v/>
      </c>
      <c r="P48" s="48">
        <f>IF(O48="","PENDENTE",IFERROR(INDEX('Transição Tributária'!$I$13:$I$20,MATCH(N48,'Transição Tributária'!$A$13:$A$20,0)),"PENDENTE"))</f>
        <v/>
      </c>
      <c r="Q48" s="47">
        <f>IF('Matriz Normativa &amp; Governança'!$C$8="Alíquota plena — sensibilidade",1,IFERROR(INDEX('Transição Tributária'!$L$13:$L$20,MATCH(N48,'Transição Tributária'!$A$13:$A$20,0)),0))</f>
        <v/>
      </c>
      <c r="R48" s="33">
        <f>IF('Matriz Normativa &amp; Governança'!$C$8="Alíquota plena — sensibilidade",0,B48*IFERROR(INDEX('Transição Tributária'!$K$13:$K$20,MATCH(N48,'Transição Tributária'!$A$13:$A$20,0)),0))</f>
        <v/>
      </c>
      <c r="S48" s="44">
        <f>ROUNDUP(A48/3,0)</f>
        <v/>
      </c>
      <c r="T48" s="33">
        <f>IF('Matriz Normativa &amp; Governança'!$C$8="Alíquota plena — sensibilidade",B48*$C$17/(1+$C$17),IF(O48="",0,B48*O48/(1+O48)))</f>
        <v/>
      </c>
      <c r="U48" s="33">
        <f>E48*Q48</f>
        <v/>
      </c>
      <c r="V48" s="33">
        <f>G48*Q48</f>
        <v/>
      </c>
    </row>
    <row r="49" ht="30" customHeight="1">
      <c r="A49" s="31" t="n">
        <v>7</v>
      </c>
      <c r="B49" s="44">
        <f>IF(A49=1,$C$27*'Premissas &amp; Cenários'!$B$19,IF(A49='Premissas &amp; Cenários'!$B$18,$C$27*'Premissas &amp; Cenários'!$B$21,IF(AND(A49&gt;1,A49&lt;'Premissas &amp; Cenários'!$B$18),$C$27*'Premissas &amp; Cenários'!$B$20/'Premissas &amp; Cenários'!$B$17,0)))</f>
        <v/>
      </c>
      <c r="C49" s="33">
        <f>B49*$C$32</f>
        <v/>
      </c>
      <c r="D49" s="44">
        <f>IF('Matriz Normativa &amp; Governança'!$C$8="Alíquota plena — sensibilidade",C49*$C$17/(1+$C$17),IF(O49="","",C49*O49/(1+O49)))</f>
        <v/>
      </c>
      <c r="E49" s="44">
        <f>IF(AND(A49&gt;='Premissas &amp; Cenários'!$B$14,A49&lt;='Premissas &amp; Cenários'!$B$15),$C$20/'Premissas &amp; Cenários'!$B$17,0)</f>
        <v/>
      </c>
      <c r="F49" s="33">
        <f>E49*$C$22*Q49</f>
        <v/>
      </c>
      <c r="G49" s="44">
        <f>IFERROR('Premissas &amp; Cenários'!$B$22/'Premissas &amp; Cenários'!$B$18,0)</f>
        <v/>
      </c>
      <c r="H49" s="33">
        <f>G49*$C$23*Q49</f>
        <v/>
      </c>
      <c r="I49" s="33">
        <f>K48</f>
        <v/>
      </c>
      <c r="J49" s="33">
        <f>MAX(0,D49-F49-H49-I49)</f>
        <v/>
      </c>
      <c r="K49" s="33">
        <f>MAX(0,I49+F49+H49-D49)</f>
        <v/>
      </c>
      <c r="L49" s="33">
        <f>L48+J49</f>
        <v/>
      </c>
      <c r="M49" s="33">
        <f>SUM($D$43:D49)</f>
        <v/>
      </c>
      <c r="N49" s="44">
        <f>IF(A49&lt;=12,'Premissas &amp; Cenários'!$B$50,IF(A49&lt;=24,'Premissas &amp; Cenários'!$B$50+1,IF(A49&lt;=36,'Premissas &amp; Cenários'!$B$50+2,IF(A49&lt;=48,'Premissas &amp; Cenários'!$B$50+3,'Premissas &amp; Cenários'!$B$50+4))))</f>
        <v/>
      </c>
      <c r="O49" s="47">
        <f>IFERROR(INDEX('Transição Tributária'!$G$13:$G$20,MATCH(N49,'Transição Tributária'!$A$13:$A$20,0)),"")</f>
        <v/>
      </c>
      <c r="P49" s="48">
        <f>IF(O49="","PENDENTE",IFERROR(INDEX('Transição Tributária'!$I$13:$I$20,MATCH(N49,'Transição Tributária'!$A$13:$A$20,0)),"PENDENTE"))</f>
        <v/>
      </c>
      <c r="Q49" s="47">
        <f>IF('Matriz Normativa &amp; Governança'!$C$8="Alíquota plena — sensibilidade",1,IFERROR(INDEX('Transição Tributária'!$L$13:$L$20,MATCH(N49,'Transição Tributária'!$A$13:$A$20,0)),0))</f>
        <v/>
      </c>
      <c r="R49" s="33">
        <f>IF('Matriz Normativa &amp; Governança'!$C$8="Alíquota plena — sensibilidade",0,B49*IFERROR(INDEX('Transição Tributária'!$K$13:$K$20,MATCH(N49,'Transição Tributária'!$A$13:$A$20,0)),0))</f>
        <v/>
      </c>
      <c r="S49" s="44">
        <f>ROUNDUP(A49/3,0)</f>
        <v/>
      </c>
      <c r="T49" s="33">
        <f>IF('Matriz Normativa &amp; Governança'!$C$8="Alíquota plena — sensibilidade",B49*$C$17/(1+$C$17),IF(O49="",0,B49*O49/(1+O49)))</f>
        <v/>
      </c>
      <c r="U49" s="33">
        <f>E49*Q49</f>
        <v/>
      </c>
      <c r="V49" s="33">
        <f>G49*Q49</f>
        <v/>
      </c>
    </row>
    <row r="50" ht="30" customHeight="1">
      <c r="A50" s="31" t="n">
        <v>8</v>
      </c>
      <c r="B50" s="44">
        <f>IF(A50=1,$C$27*'Premissas &amp; Cenários'!$B$19,IF(A50='Premissas &amp; Cenários'!$B$18,$C$27*'Premissas &amp; Cenários'!$B$21,IF(AND(A50&gt;1,A50&lt;'Premissas &amp; Cenários'!$B$18),$C$27*'Premissas &amp; Cenários'!$B$20/'Premissas &amp; Cenários'!$B$17,0)))</f>
        <v/>
      </c>
      <c r="C50" s="33">
        <f>B50*$C$32</f>
        <v/>
      </c>
      <c r="D50" s="44">
        <f>IF('Matriz Normativa &amp; Governança'!$C$8="Alíquota plena — sensibilidade",C50*$C$17/(1+$C$17),IF(O50="","",C50*O50/(1+O50)))</f>
        <v/>
      </c>
      <c r="E50" s="44">
        <f>IF(AND(A50&gt;='Premissas &amp; Cenários'!$B$14,A50&lt;='Premissas &amp; Cenários'!$B$15),$C$20/'Premissas &amp; Cenários'!$B$17,0)</f>
        <v/>
      </c>
      <c r="F50" s="33">
        <f>E50*$C$22*Q50</f>
        <v/>
      </c>
      <c r="G50" s="44">
        <f>IFERROR('Premissas &amp; Cenários'!$B$22/'Premissas &amp; Cenários'!$B$18,0)</f>
        <v/>
      </c>
      <c r="H50" s="33">
        <f>G50*$C$23*Q50</f>
        <v/>
      </c>
      <c r="I50" s="33">
        <f>K49</f>
        <v/>
      </c>
      <c r="J50" s="33">
        <f>MAX(0,D50-F50-H50-I50)</f>
        <v/>
      </c>
      <c r="K50" s="33">
        <f>MAX(0,I50+F50+H50-D50)</f>
        <v/>
      </c>
      <c r="L50" s="33">
        <f>L49+J50</f>
        <v/>
      </c>
      <c r="M50" s="33">
        <f>SUM($D$43:D50)</f>
        <v/>
      </c>
      <c r="N50" s="44">
        <f>IF(A50&lt;=12,'Premissas &amp; Cenários'!$B$50,IF(A50&lt;=24,'Premissas &amp; Cenários'!$B$50+1,IF(A50&lt;=36,'Premissas &amp; Cenários'!$B$50+2,IF(A50&lt;=48,'Premissas &amp; Cenários'!$B$50+3,'Premissas &amp; Cenários'!$B$50+4))))</f>
        <v/>
      </c>
      <c r="O50" s="47">
        <f>IFERROR(INDEX('Transição Tributária'!$G$13:$G$20,MATCH(N50,'Transição Tributária'!$A$13:$A$20,0)),"")</f>
        <v/>
      </c>
      <c r="P50" s="48">
        <f>IF(O50="","PENDENTE",IFERROR(INDEX('Transição Tributária'!$I$13:$I$20,MATCH(N50,'Transição Tributária'!$A$13:$A$20,0)),"PENDENTE"))</f>
        <v/>
      </c>
      <c r="Q50" s="47">
        <f>IF('Matriz Normativa &amp; Governança'!$C$8="Alíquota plena — sensibilidade",1,IFERROR(INDEX('Transição Tributária'!$L$13:$L$20,MATCH(N50,'Transição Tributária'!$A$13:$A$20,0)),0))</f>
        <v/>
      </c>
      <c r="R50" s="33">
        <f>IF('Matriz Normativa &amp; Governança'!$C$8="Alíquota plena — sensibilidade",0,B50*IFERROR(INDEX('Transição Tributária'!$K$13:$K$20,MATCH(N50,'Transição Tributária'!$A$13:$A$20,0)),0))</f>
        <v/>
      </c>
      <c r="S50" s="44">
        <f>ROUNDUP(A50/3,0)</f>
        <v/>
      </c>
      <c r="T50" s="33">
        <f>IF('Matriz Normativa &amp; Governança'!$C$8="Alíquota plena — sensibilidade",B50*$C$17/(1+$C$17),IF(O50="",0,B50*O50/(1+O50)))</f>
        <v/>
      </c>
      <c r="U50" s="33">
        <f>E50*Q50</f>
        <v/>
      </c>
      <c r="V50" s="33">
        <f>G50*Q50</f>
        <v/>
      </c>
    </row>
    <row r="51" ht="30" customHeight="1">
      <c r="A51" s="31" t="n">
        <v>9</v>
      </c>
      <c r="B51" s="44">
        <f>IF(A51=1,$C$27*'Premissas &amp; Cenários'!$B$19,IF(A51='Premissas &amp; Cenários'!$B$18,$C$27*'Premissas &amp; Cenários'!$B$21,IF(AND(A51&gt;1,A51&lt;'Premissas &amp; Cenários'!$B$18),$C$27*'Premissas &amp; Cenários'!$B$20/'Premissas &amp; Cenários'!$B$17,0)))</f>
        <v/>
      </c>
      <c r="C51" s="33">
        <f>B51*$C$32</f>
        <v/>
      </c>
      <c r="D51" s="44">
        <f>IF('Matriz Normativa &amp; Governança'!$C$8="Alíquota plena — sensibilidade",C51*$C$17/(1+$C$17),IF(O51="","",C51*O51/(1+O51)))</f>
        <v/>
      </c>
      <c r="E51" s="44">
        <f>IF(AND(A51&gt;='Premissas &amp; Cenários'!$B$14,A51&lt;='Premissas &amp; Cenários'!$B$15),$C$20/'Premissas &amp; Cenários'!$B$17,0)</f>
        <v/>
      </c>
      <c r="F51" s="33">
        <f>E51*$C$22*Q51</f>
        <v/>
      </c>
      <c r="G51" s="44">
        <f>IFERROR('Premissas &amp; Cenários'!$B$22/'Premissas &amp; Cenários'!$B$18,0)</f>
        <v/>
      </c>
      <c r="H51" s="33">
        <f>G51*$C$23*Q51</f>
        <v/>
      </c>
      <c r="I51" s="33">
        <f>K50</f>
        <v/>
      </c>
      <c r="J51" s="33">
        <f>MAX(0,D51-F51-H51-I51)</f>
        <v/>
      </c>
      <c r="K51" s="33">
        <f>MAX(0,I51+F51+H51-D51)</f>
        <v/>
      </c>
      <c r="L51" s="33">
        <f>L50+J51</f>
        <v/>
      </c>
      <c r="M51" s="33">
        <f>SUM($D$43:D51)</f>
        <v/>
      </c>
      <c r="N51" s="44">
        <f>IF(A51&lt;=12,'Premissas &amp; Cenários'!$B$50,IF(A51&lt;=24,'Premissas &amp; Cenários'!$B$50+1,IF(A51&lt;=36,'Premissas &amp; Cenários'!$B$50+2,IF(A51&lt;=48,'Premissas &amp; Cenários'!$B$50+3,'Premissas &amp; Cenários'!$B$50+4))))</f>
        <v/>
      </c>
      <c r="O51" s="47">
        <f>IFERROR(INDEX('Transição Tributária'!$G$13:$G$20,MATCH(N51,'Transição Tributária'!$A$13:$A$20,0)),"")</f>
        <v/>
      </c>
      <c r="P51" s="48">
        <f>IF(O51="","PENDENTE",IFERROR(INDEX('Transição Tributária'!$I$13:$I$20,MATCH(N51,'Transição Tributária'!$A$13:$A$20,0)),"PENDENTE"))</f>
        <v/>
      </c>
      <c r="Q51" s="47">
        <f>IF('Matriz Normativa &amp; Governança'!$C$8="Alíquota plena — sensibilidade",1,IFERROR(INDEX('Transição Tributária'!$L$13:$L$20,MATCH(N51,'Transição Tributária'!$A$13:$A$20,0)),0))</f>
        <v/>
      </c>
      <c r="R51" s="33">
        <f>IF('Matriz Normativa &amp; Governança'!$C$8="Alíquota plena — sensibilidade",0,B51*IFERROR(INDEX('Transição Tributária'!$K$13:$K$20,MATCH(N51,'Transição Tributária'!$A$13:$A$20,0)),0))</f>
        <v/>
      </c>
      <c r="S51" s="44">
        <f>ROUNDUP(A51/3,0)</f>
        <v/>
      </c>
      <c r="T51" s="33">
        <f>IF('Matriz Normativa &amp; Governança'!$C$8="Alíquota plena — sensibilidade",B51*$C$17/(1+$C$17),IF(O51="",0,B51*O51/(1+O51)))</f>
        <v/>
      </c>
      <c r="U51" s="33">
        <f>E51*Q51</f>
        <v/>
      </c>
      <c r="V51" s="33">
        <f>G51*Q51</f>
        <v/>
      </c>
    </row>
    <row r="52" ht="30" customHeight="1">
      <c r="A52" s="31" t="n">
        <v>10</v>
      </c>
      <c r="B52" s="44">
        <f>IF(A52=1,$C$27*'Premissas &amp; Cenários'!$B$19,IF(A52='Premissas &amp; Cenários'!$B$18,$C$27*'Premissas &amp; Cenários'!$B$21,IF(AND(A52&gt;1,A52&lt;'Premissas &amp; Cenários'!$B$18),$C$27*'Premissas &amp; Cenários'!$B$20/'Premissas &amp; Cenários'!$B$17,0)))</f>
        <v/>
      </c>
      <c r="C52" s="33">
        <f>B52*$C$32</f>
        <v/>
      </c>
      <c r="D52" s="44">
        <f>IF('Matriz Normativa &amp; Governança'!$C$8="Alíquota plena — sensibilidade",C52*$C$17/(1+$C$17),IF(O52="","",C52*O52/(1+O52)))</f>
        <v/>
      </c>
      <c r="E52" s="44">
        <f>IF(AND(A52&gt;='Premissas &amp; Cenários'!$B$14,A52&lt;='Premissas &amp; Cenários'!$B$15),$C$20/'Premissas &amp; Cenários'!$B$17,0)</f>
        <v/>
      </c>
      <c r="F52" s="33">
        <f>E52*$C$22*Q52</f>
        <v/>
      </c>
      <c r="G52" s="44">
        <f>IFERROR('Premissas &amp; Cenários'!$B$22/'Premissas &amp; Cenários'!$B$18,0)</f>
        <v/>
      </c>
      <c r="H52" s="33">
        <f>G52*$C$23*Q52</f>
        <v/>
      </c>
      <c r="I52" s="33">
        <f>K51</f>
        <v/>
      </c>
      <c r="J52" s="33">
        <f>MAX(0,D52-F52-H52-I52)</f>
        <v/>
      </c>
      <c r="K52" s="33">
        <f>MAX(0,I52+F52+H52-D52)</f>
        <v/>
      </c>
      <c r="L52" s="33">
        <f>L51+J52</f>
        <v/>
      </c>
      <c r="M52" s="33">
        <f>SUM($D$43:D52)</f>
        <v/>
      </c>
      <c r="N52" s="44">
        <f>IF(A52&lt;=12,'Premissas &amp; Cenários'!$B$50,IF(A52&lt;=24,'Premissas &amp; Cenários'!$B$50+1,IF(A52&lt;=36,'Premissas &amp; Cenários'!$B$50+2,IF(A52&lt;=48,'Premissas &amp; Cenários'!$B$50+3,'Premissas &amp; Cenários'!$B$50+4))))</f>
        <v/>
      </c>
      <c r="O52" s="47">
        <f>IFERROR(INDEX('Transição Tributária'!$G$13:$G$20,MATCH(N52,'Transição Tributária'!$A$13:$A$20,0)),"")</f>
        <v/>
      </c>
      <c r="P52" s="48">
        <f>IF(O52="","PENDENTE",IFERROR(INDEX('Transição Tributária'!$I$13:$I$20,MATCH(N52,'Transição Tributária'!$A$13:$A$20,0)),"PENDENTE"))</f>
        <v/>
      </c>
      <c r="Q52" s="47">
        <f>IF('Matriz Normativa &amp; Governança'!$C$8="Alíquota plena — sensibilidade",1,IFERROR(INDEX('Transição Tributária'!$L$13:$L$20,MATCH(N52,'Transição Tributária'!$A$13:$A$20,0)),0))</f>
        <v/>
      </c>
      <c r="R52" s="33">
        <f>IF('Matriz Normativa &amp; Governança'!$C$8="Alíquota plena — sensibilidade",0,B52*IFERROR(INDEX('Transição Tributária'!$K$13:$K$20,MATCH(N52,'Transição Tributária'!$A$13:$A$20,0)),0))</f>
        <v/>
      </c>
      <c r="S52" s="44">
        <f>ROUNDUP(A52/3,0)</f>
        <v/>
      </c>
      <c r="T52" s="33">
        <f>IF('Matriz Normativa &amp; Governança'!$C$8="Alíquota plena — sensibilidade",B52*$C$17/(1+$C$17),IF(O52="",0,B52*O52/(1+O52)))</f>
        <v/>
      </c>
      <c r="U52" s="33">
        <f>E52*Q52</f>
        <v/>
      </c>
      <c r="V52" s="33">
        <f>G52*Q52</f>
        <v/>
      </c>
    </row>
    <row r="53" ht="30" customHeight="1">
      <c r="A53" s="31" t="n">
        <v>11</v>
      </c>
      <c r="B53" s="44">
        <f>IF(A53=1,$C$27*'Premissas &amp; Cenários'!$B$19,IF(A53='Premissas &amp; Cenários'!$B$18,$C$27*'Premissas &amp; Cenários'!$B$21,IF(AND(A53&gt;1,A53&lt;'Premissas &amp; Cenários'!$B$18),$C$27*'Premissas &amp; Cenários'!$B$20/'Premissas &amp; Cenários'!$B$17,0)))</f>
        <v/>
      </c>
      <c r="C53" s="33">
        <f>B53*$C$32</f>
        <v/>
      </c>
      <c r="D53" s="44">
        <f>IF('Matriz Normativa &amp; Governança'!$C$8="Alíquota plena — sensibilidade",C53*$C$17/(1+$C$17),IF(O53="","",C53*O53/(1+O53)))</f>
        <v/>
      </c>
      <c r="E53" s="44">
        <f>IF(AND(A53&gt;='Premissas &amp; Cenários'!$B$14,A53&lt;='Premissas &amp; Cenários'!$B$15),$C$20/'Premissas &amp; Cenários'!$B$17,0)</f>
        <v/>
      </c>
      <c r="F53" s="33">
        <f>E53*$C$22*Q53</f>
        <v/>
      </c>
      <c r="G53" s="44">
        <f>IFERROR('Premissas &amp; Cenários'!$B$22/'Premissas &amp; Cenários'!$B$18,0)</f>
        <v/>
      </c>
      <c r="H53" s="33">
        <f>G53*$C$23*Q53</f>
        <v/>
      </c>
      <c r="I53" s="33">
        <f>K52</f>
        <v/>
      </c>
      <c r="J53" s="33">
        <f>MAX(0,D53-F53-H53-I53)</f>
        <v/>
      </c>
      <c r="K53" s="33">
        <f>MAX(0,I53+F53+H53-D53)</f>
        <v/>
      </c>
      <c r="L53" s="33">
        <f>L52+J53</f>
        <v/>
      </c>
      <c r="M53" s="33">
        <f>SUM($D$43:D53)</f>
        <v/>
      </c>
      <c r="N53" s="44">
        <f>IF(A53&lt;=12,'Premissas &amp; Cenários'!$B$50,IF(A53&lt;=24,'Premissas &amp; Cenários'!$B$50+1,IF(A53&lt;=36,'Premissas &amp; Cenários'!$B$50+2,IF(A53&lt;=48,'Premissas &amp; Cenários'!$B$50+3,'Premissas &amp; Cenários'!$B$50+4))))</f>
        <v/>
      </c>
      <c r="O53" s="47">
        <f>IFERROR(INDEX('Transição Tributária'!$G$13:$G$20,MATCH(N53,'Transição Tributária'!$A$13:$A$20,0)),"")</f>
        <v/>
      </c>
      <c r="P53" s="48">
        <f>IF(O53="","PENDENTE",IFERROR(INDEX('Transição Tributária'!$I$13:$I$20,MATCH(N53,'Transição Tributária'!$A$13:$A$20,0)),"PENDENTE"))</f>
        <v/>
      </c>
      <c r="Q53" s="47">
        <f>IF('Matriz Normativa &amp; Governança'!$C$8="Alíquota plena — sensibilidade",1,IFERROR(INDEX('Transição Tributária'!$L$13:$L$20,MATCH(N53,'Transição Tributária'!$A$13:$A$20,0)),0))</f>
        <v/>
      </c>
      <c r="R53" s="33">
        <f>IF('Matriz Normativa &amp; Governança'!$C$8="Alíquota plena — sensibilidade",0,B53*IFERROR(INDEX('Transição Tributária'!$K$13:$K$20,MATCH(N53,'Transição Tributária'!$A$13:$A$20,0)),0))</f>
        <v/>
      </c>
      <c r="S53" s="44">
        <f>ROUNDUP(A53/3,0)</f>
        <v/>
      </c>
      <c r="T53" s="33">
        <f>IF('Matriz Normativa &amp; Governança'!$C$8="Alíquota plena — sensibilidade",B53*$C$17/(1+$C$17),IF(O53="",0,B53*O53/(1+O53)))</f>
        <v/>
      </c>
      <c r="U53" s="33">
        <f>E53*Q53</f>
        <v/>
      </c>
      <c r="V53" s="33">
        <f>G53*Q53</f>
        <v/>
      </c>
    </row>
    <row r="54" ht="30" customHeight="1">
      <c r="A54" s="31" t="n">
        <v>12</v>
      </c>
      <c r="B54" s="44">
        <f>IF(A54=1,$C$27*'Premissas &amp; Cenários'!$B$19,IF(A54='Premissas &amp; Cenários'!$B$18,$C$27*'Premissas &amp; Cenários'!$B$21,IF(AND(A54&gt;1,A54&lt;'Premissas &amp; Cenários'!$B$18),$C$27*'Premissas &amp; Cenários'!$B$20/'Premissas &amp; Cenários'!$B$17,0)))</f>
        <v/>
      </c>
      <c r="C54" s="33">
        <f>B54*$C$32</f>
        <v/>
      </c>
      <c r="D54" s="44">
        <f>IF('Matriz Normativa &amp; Governança'!$C$8="Alíquota plena — sensibilidade",C54*$C$17/(1+$C$17),IF(O54="","",C54*O54/(1+O54)))</f>
        <v/>
      </c>
      <c r="E54" s="44">
        <f>IF(AND(A54&gt;='Premissas &amp; Cenários'!$B$14,A54&lt;='Premissas &amp; Cenários'!$B$15),$C$20/'Premissas &amp; Cenários'!$B$17,0)</f>
        <v/>
      </c>
      <c r="F54" s="33">
        <f>E54*$C$22*Q54</f>
        <v/>
      </c>
      <c r="G54" s="44">
        <f>IFERROR('Premissas &amp; Cenários'!$B$22/'Premissas &amp; Cenários'!$B$18,0)</f>
        <v/>
      </c>
      <c r="H54" s="33">
        <f>G54*$C$23*Q54</f>
        <v/>
      </c>
      <c r="I54" s="33">
        <f>K53</f>
        <v/>
      </c>
      <c r="J54" s="33">
        <f>MAX(0,D54-F54-H54-I54)</f>
        <v/>
      </c>
      <c r="K54" s="33">
        <f>MAX(0,I54+F54+H54-D54)</f>
        <v/>
      </c>
      <c r="L54" s="33">
        <f>L53+J54</f>
        <v/>
      </c>
      <c r="M54" s="33">
        <f>SUM($D$43:D54)</f>
        <v/>
      </c>
      <c r="N54" s="44">
        <f>IF(A54&lt;=12,'Premissas &amp; Cenários'!$B$50,IF(A54&lt;=24,'Premissas &amp; Cenários'!$B$50+1,IF(A54&lt;=36,'Premissas &amp; Cenários'!$B$50+2,IF(A54&lt;=48,'Premissas &amp; Cenários'!$B$50+3,'Premissas &amp; Cenários'!$B$50+4))))</f>
        <v/>
      </c>
      <c r="O54" s="47">
        <f>IFERROR(INDEX('Transição Tributária'!$G$13:$G$20,MATCH(N54,'Transição Tributária'!$A$13:$A$20,0)),"")</f>
        <v/>
      </c>
      <c r="P54" s="48">
        <f>IF(O54="","PENDENTE",IFERROR(INDEX('Transição Tributária'!$I$13:$I$20,MATCH(N54,'Transição Tributária'!$A$13:$A$20,0)),"PENDENTE"))</f>
        <v/>
      </c>
      <c r="Q54" s="47">
        <f>IF('Matriz Normativa &amp; Governança'!$C$8="Alíquota plena — sensibilidade",1,IFERROR(INDEX('Transição Tributária'!$L$13:$L$20,MATCH(N54,'Transição Tributária'!$A$13:$A$20,0)),0))</f>
        <v/>
      </c>
      <c r="R54" s="33">
        <f>IF('Matriz Normativa &amp; Governança'!$C$8="Alíquota plena — sensibilidade",0,B54*IFERROR(INDEX('Transição Tributária'!$K$13:$K$20,MATCH(N54,'Transição Tributária'!$A$13:$A$20,0)),0))</f>
        <v/>
      </c>
      <c r="S54" s="44">
        <f>ROUNDUP(A54/3,0)</f>
        <v/>
      </c>
      <c r="T54" s="33">
        <f>IF('Matriz Normativa &amp; Governança'!$C$8="Alíquota plena — sensibilidade",B54*$C$17/(1+$C$17),IF(O54="",0,B54*O54/(1+O54)))</f>
        <v/>
      </c>
      <c r="U54" s="33">
        <f>E54*Q54</f>
        <v/>
      </c>
      <c r="V54" s="33">
        <f>G54*Q54</f>
        <v/>
      </c>
    </row>
    <row r="55" ht="30" customHeight="1">
      <c r="A55" s="31" t="n">
        <v>13</v>
      </c>
      <c r="B55" s="44">
        <f>IF(A55=1,$C$27*'Premissas &amp; Cenários'!$B$19,IF(A55='Premissas &amp; Cenários'!$B$18,$C$27*'Premissas &amp; Cenários'!$B$21,IF(AND(A55&gt;1,A55&lt;'Premissas &amp; Cenários'!$B$18),$C$27*'Premissas &amp; Cenários'!$B$20/'Premissas &amp; Cenários'!$B$17,0)))</f>
        <v/>
      </c>
      <c r="C55" s="33">
        <f>B55*$C$32</f>
        <v/>
      </c>
      <c r="D55" s="44">
        <f>IF('Matriz Normativa &amp; Governança'!$C$8="Alíquota plena — sensibilidade",C55*$C$17/(1+$C$17),IF(O55="","",C55*O55/(1+O55)))</f>
        <v/>
      </c>
      <c r="E55" s="44">
        <f>IF(AND(A55&gt;='Premissas &amp; Cenários'!$B$14,A55&lt;='Premissas &amp; Cenários'!$B$15),$C$20/'Premissas &amp; Cenários'!$B$17,0)</f>
        <v/>
      </c>
      <c r="F55" s="33">
        <f>E55*$C$22*Q55</f>
        <v/>
      </c>
      <c r="G55" s="44">
        <f>IFERROR('Premissas &amp; Cenários'!$B$22/'Premissas &amp; Cenários'!$B$18,0)</f>
        <v/>
      </c>
      <c r="H55" s="33">
        <f>G55*$C$23*Q55</f>
        <v/>
      </c>
      <c r="I55" s="33">
        <f>K54</f>
        <v/>
      </c>
      <c r="J55" s="33">
        <f>MAX(0,D55-F55-H55-I55)</f>
        <v/>
      </c>
      <c r="K55" s="33">
        <f>MAX(0,I55+F55+H55-D55)</f>
        <v/>
      </c>
      <c r="L55" s="33">
        <f>L54+J55</f>
        <v/>
      </c>
      <c r="M55" s="33">
        <f>SUM($D$43:D55)</f>
        <v/>
      </c>
      <c r="N55" s="44">
        <f>IF(A55&lt;=12,'Premissas &amp; Cenários'!$B$50,IF(A55&lt;=24,'Premissas &amp; Cenários'!$B$50+1,IF(A55&lt;=36,'Premissas &amp; Cenários'!$B$50+2,IF(A55&lt;=48,'Premissas &amp; Cenários'!$B$50+3,'Premissas &amp; Cenários'!$B$50+4))))</f>
        <v/>
      </c>
      <c r="O55" s="47">
        <f>IFERROR(INDEX('Transição Tributária'!$G$13:$G$20,MATCH(N55,'Transição Tributária'!$A$13:$A$20,0)),"")</f>
        <v/>
      </c>
      <c r="P55" s="48">
        <f>IF(O55="","PENDENTE",IFERROR(INDEX('Transição Tributária'!$I$13:$I$20,MATCH(N55,'Transição Tributária'!$A$13:$A$20,0)),"PENDENTE"))</f>
        <v/>
      </c>
      <c r="Q55" s="47">
        <f>IF('Matriz Normativa &amp; Governança'!$C$8="Alíquota plena — sensibilidade",1,IFERROR(INDEX('Transição Tributária'!$L$13:$L$20,MATCH(N55,'Transição Tributária'!$A$13:$A$20,0)),0))</f>
        <v/>
      </c>
      <c r="R55" s="33">
        <f>IF('Matriz Normativa &amp; Governança'!$C$8="Alíquota plena — sensibilidade",0,B55*IFERROR(INDEX('Transição Tributária'!$K$13:$K$20,MATCH(N55,'Transição Tributária'!$A$13:$A$20,0)),0))</f>
        <v/>
      </c>
      <c r="S55" s="44">
        <f>ROUNDUP(A55/3,0)</f>
        <v/>
      </c>
      <c r="T55" s="33">
        <f>IF('Matriz Normativa &amp; Governança'!$C$8="Alíquota plena — sensibilidade",B55*$C$17/(1+$C$17),IF(O55="",0,B55*O55/(1+O55)))</f>
        <v/>
      </c>
      <c r="U55" s="33">
        <f>E55*Q55</f>
        <v/>
      </c>
      <c r="V55" s="33">
        <f>G55*Q55</f>
        <v/>
      </c>
    </row>
    <row r="56" ht="30" customHeight="1">
      <c r="A56" s="31" t="n">
        <v>14</v>
      </c>
      <c r="B56" s="44">
        <f>IF(A56=1,$C$27*'Premissas &amp; Cenários'!$B$19,IF(A56='Premissas &amp; Cenários'!$B$18,$C$27*'Premissas &amp; Cenários'!$B$21,IF(AND(A56&gt;1,A56&lt;'Premissas &amp; Cenários'!$B$18),$C$27*'Premissas &amp; Cenários'!$B$20/'Premissas &amp; Cenários'!$B$17,0)))</f>
        <v/>
      </c>
      <c r="C56" s="33">
        <f>B56*$C$32</f>
        <v/>
      </c>
      <c r="D56" s="44">
        <f>IF('Matriz Normativa &amp; Governança'!$C$8="Alíquota plena — sensibilidade",C56*$C$17/(1+$C$17),IF(O56="","",C56*O56/(1+O56)))</f>
        <v/>
      </c>
      <c r="E56" s="44">
        <f>IF(AND(A56&gt;='Premissas &amp; Cenários'!$B$14,A56&lt;='Premissas &amp; Cenários'!$B$15),$C$20/'Premissas &amp; Cenários'!$B$17,0)</f>
        <v/>
      </c>
      <c r="F56" s="33">
        <f>E56*$C$22*Q56</f>
        <v/>
      </c>
      <c r="G56" s="44">
        <f>IFERROR('Premissas &amp; Cenários'!$B$22/'Premissas &amp; Cenários'!$B$18,0)</f>
        <v/>
      </c>
      <c r="H56" s="33">
        <f>G56*$C$23*Q56</f>
        <v/>
      </c>
      <c r="I56" s="33">
        <f>K55</f>
        <v/>
      </c>
      <c r="J56" s="33">
        <f>MAX(0,D56-F56-H56-I56)</f>
        <v/>
      </c>
      <c r="K56" s="33">
        <f>MAX(0,I56+F56+H56-D56)</f>
        <v/>
      </c>
      <c r="L56" s="33">
        <f>L55+J56</f>
        <v/>
      </c>
      <c r="M56" s="33">
        <f>SUM($D$43:D56)</f>
        <v/>
      </c>
      <c r="N56" s="44">
        <f>IF(A56&lt;=12,'Premissas &amp; Cenários'!$B$50,IF(A56&lt;=24,'Premissas &amp; Cenários'!$B$50+1,IF(A56&lt;=36,'Premissas &amp; Cenários'!$B$50+2,IF(A56&lt;=48,'Premissas &amp; Cenários'!$B$50+3,'Premissas &amp; Cenários'!$B$50+4))))</f>
        <v/>
      </c>
      <c r="O56" s="47">
        <f>IFERROR(INDEX('Transição Tributária'!$G$13:$G$20,MATCH(N56,'Transição Tributária'!$A$13:$A$20,0)),"")</f>
        <v/>
      </c>
      <c r="P56" s="48">
        <f>IF(O56="","PENDENTE",IFERROR(INDEX('Transição Tributária'!$I$13:$I$20,MATCH(N56,'Transição Tributária'!$A$13:$A$20,0)),"PENDENTE"))</f>
        <v/>
      </c>
      <c r="Q56" s="47">
        <f>IF('Matriz Normativa &amp; Governança'!$C$8="Alíquota plena — sensibilidade",1,IFERROR(INDEX('Transição Tributária'!$L$13:$L$20,MATCH(N56,'Transição Tributária'!$A$13:$A$20,0)),0))</f>
        <v/>
      </c>
      <c r="R56" s="33">
        <f>IF('Matriz Normativa &amp; Governança'!$C$8="Alíquota plena — sensibilidade",0,B56*IFERROR(INDEX('Transição Tributária'!$K$13:$K$20,MATCH(N56,'Transição Tributária'!$A$13:$A$20,0)),0))</f>
        <v/>
      </c>
      <c r="S56" s="44">
        <f>ROUNDUP(A56/3,0)</f>
        <v/>
      </c>
      <c r="T56" s="33">
        <f>IF('Matriz Normativa &amp; Governança'!$C$8="Alíquota plena — sensibilidade",B56*$C$17/(1+$C$17),IF(O56="",0,B56*O56/(1+O56)))</f>
        <v/>
      </c>
      <c r="U56" s="33">
        <f>E56*Q56</f>
        <v/>
      </c>
      <c r="V56" s="33">
        <f>G56*Q56</f>
        <v/>
      </c>
    </row>
    <row r="57" ht="30" customHeight="1">
      <c r="A57" s="31" t="n">
        <v>15</v>
      </c>
      <c r="B57" s="44">
        <f>IF(A57=1,$C$27*'Premissas &amp; Cenários'!$B$19,IF(A57='Premissas &amp; Cenários'!$B$18,$C$27*'Premissas &amp; Cenários'!$B$21,IF(AND(A57&gt;1,A57&lt;'Premissas &amp; Cenários'!$B$18),$C$27*'Premissas &amp; Cenários'!$B$20/'Premissas &amp; Cenários'!$B$17,0)))</f>
        <v/>
      </c>
      <c r="C57" s="33">
        <f>B57*$C$32</f>
        <v/>
      </c>
      <c r="D57" s="44">
        <f>IF('Matriz Normativa &amp; Governança'!$C$8="Alíquota plena — sensibilidade",C57*$C$17/(1+$C$17),IF(O57="","",C57*O57/(1+O57)))</f>
        <v/>
      </c>
      <c r="E57" s="44">
        <f>IF(AND(A57&gt;='Premissas &amp; Cenários'!$B$14,A57&lt;='Premissas &amp; Cenários'!$B$15),$C$20/'Premissas &amp; Cenários'!$B$17,0)</f>
        <v/>
      </c>
      <c r="F57" s="33">
        <f>E57*$C$22*Q57</f>
        <v/>
      </c>
      <c r="G57" s="44">
        <f>IFERROR('Premissas &amp; Cenários'!$B$22/'Premissas &amp; Cenários'!$B$18,0)</f>
        <v/>
      </c>
      <c r="H57" s="33">
        <f>G57*$C$23*Q57</f>
        <v/>
      </c>
      <c r="I57" s="33">
        <f>K56</f>
        <v/>
      </c>
      <c r="J57" s="33">
        <f>MAX(0,D57-F57-H57-I57)</f>
        <v/>
      </c>
      <c r="K57" s="33">
        <f>MAX(0,I57+F57+H57-D57)</f>
        <v/>
      </c>
      <c r="L57" s="33">
        <f>L56+J57</f>
        <v/>
      </c>
      <c r="M57" s="33">
        <f>SUM($D$43:D57)</f>
        <v/>
      </c>
      <c r="N57" s="44">
        <f>IF(A57&lt;=12,'Premissas &amp; Cenários'!$B$50,IF(A57&lt;=24,'Premissas &amp; Cenários'!$B$50+1,IF(A57&lt;=36,'Premissas &amp; Cenários'!$B$50+2,IF(A57&lt;=48,'Premissas &amp; Cenários'!$B$50+3,'Premissas &amp; Cenários'!$B$50+4))))</f>
        <v/>
      </c>
      <c r="O57" s="47">
        <f>IFERROR(INDEX('Transição Tributária'!$G$13:$G$20,MATCH(N57,'Transição Tributária'!$A$13:$A$20,0)),"")</f>
        <v/>
      </c>
      <c r="P57" s="48">
        <f>IF(O57="","PENDENTE",IFERROR(INDEX('Transição Tributária'!$I$13:$I$20,MATCH(N57,'Transição Tributária'!$A$13:$A$20,0)),"PENDENTE"))</f>
        <v/>
      </c>
      <c r="Q57" s="47">
        <f>IF('Matriz Normativa &amp; Governança'!$C$8="Alíquota plena — sensibilidade",1,IFERROR(INDEX('Transição Tributária'!$L$13:$L$20,MATCH(N57,'Transição Tributária'!$A$13:$A$20,0)),0))</f>
        <v/>
      </c>
      <c r="R57" s="33">
        <f>IF('Matriz Normativa &amp; Governança'!$C$8="Alíquota plena — sensibilidade",0,B57*IFERROR(INDEX('Transição Tributária'!$K$13:$K$20,MATCH(N57,'Transição Tributária'!$A$13:$A$20,0)),0))</f>
        <v/>
      </c>
      <c r="S57" s="44">
        <f>ROUNDUP(A57/3,0)</f>
        <v/>
      </c>
      <c r="T57" s="33">
        <f>IF('Matriz Normativa &amp; Governança'!$C$8="Alíquota plena — sensibilidade",B57*$C$17/(1+$C$17),IF(O57="",0,B57*O57/(1+O57)))</f>
        <v/>
      </c>
      <c r="U57" s="33">
        <f>E57*Q57</f>
        <v/>
      </c>
      <c r="V57" s="33">
        <f>G57*Q57</f>
        <v/>
      </c>
    </row>
    <row r="58" ht="30" customHeight="1">
      <c r="A58" s="31" t="n">
        <v>16</v>
      </c>
      <c r="B58" s="44">
        <f>IF(A58=1,$C$27*'Premissas &amp; Cenários'!$B$19,IF(A58='Premissas &amp; Cenários'!$B$18,$C$27*'Premissas &amp; Cenários'!$B$21,IF(AND(A58&gt;1,A58&lt;'Premissas &amp; Cenários'!$B$18),$C$27*'Premissas &amp; Cenários'!$B$20/'Premissas &amp; Cenários'!$B$17,0)))</f>
        <v/>
      </c>
      <c r="C58" s="33">
        <f>B58*$C$32</f>
        <v/>
      </c>
      <c r="D58" s="44">
        <f>IF('Matriz Normativa &amp; Governança'!$C$8="Alíquota plena — sensibilidade",C58*$C$17/(1+$C$17),IF(O58="","",C58*O58/(1+O58)))</f>
        <v/>
      </c>
      <c r="E58" s="44">
        <f>IF(AND(A58&gt;='Premissas &amp; Cenários'!$B$14,A58&lt;='Premissas &amp; Cenários'!$B$15),$C$20/'Premissas &amp; Cenários'!$B$17,0)</f>
        <v/>
      </c>
      <c r="F58" s="33">
        <f>E58*$C$22*Q58</f>
        <v/>
      </c>
      <c r="G58" s="44">
        <f>IFERROR('Premissas &amp; Cenários'!$B$22/'Premissas &amp; Cenários'!$B$18,0)</f>
        <v/>
      </c>
      <c r="H58" s="33">
        <f>G58*$C$23*Q58</f>
        <v/>
      </c>
      <c r="I58" s="33">
        <f>K57</f>
        <v/>
      </c>
      <c r="J58" s="33">
        <f>MAX(0,D58-F58-H58-I58)</f>
        <v/>
      </c>
      <c r="K58" s="33">
        <f>MAX(0,I58+F58+H58-D58)</f>
        <v/>
      </c>
      <c r="L58" s="33">
        <f>L57+J58</f>
        <v/>
      </c>
      <c r="M58" s="33">
        <f>SUM($D$43:D58)</f>
        <v/>
      </c>
      <c r="N58" s="44">
        <f>IF(A58&lt;=12,'Premissas &amp; Cenários'!$B$50,IF(A58&lt;=24,'Premissas &amp; Cenários'!$B$50+1,IF(A58&lt;=36,'Premissas &amp; Cenários'!$B$50+2,IF(A58&lt;=48,'Premissas &amp; Cenários'!$B$50+3,'Premissas &amp; Cenários'!$B$50+4))))</f>
        <v/>
      </c>
      <c r="O58" s="47">
        <f>IFERROR(INDEX('Transição Tributária'!$G$13:$G$20,MATCH(N58,'Transição Tributária'!$A$13:$A$20,0)),"")</f>
        <v/>
      </c>
      <c r="P58" s="48">
        <f>IF(O58="","PENDENTE",IFERROR(INDEX('Transição Tributária'!$I$13:$I$20,MATCH(N58,'Transição Tributária'!$A$13:$A$20,0)),"PENDENTE"))</f>
        <v/>
      </c>
      <c r="Q58" s="47">
        <f>IF('Matriz Normativa &amp; Governança'!$C$8="Alíquota plena — sensibilidade",1,IFERROR(INDEX('Transição Tributária'!$L$13:$L$20,MATCH(N58,'Transição Tributária'!$A$13:$A$20,0)),0))</f>
        <v/>
      </c>
      <c r="R58" s="33">
        <f>IF('Matriz Normativa &amp; Governança'!$C$8="Alíquota plena — sensibilidade",0,B58*IFERROR(INDEX('Transição Tributária'!$K$13:$K$20,MATCH(N58,'Transição Tributária'!$A$13:$A$20,0)),0))</f>
        <v/>
      </c>
      <c r="S58" s="44">
        <f>ROUNDUP(A58/3,0)</f>
        <v/>
      </c>
      <c r="T58" s="33">
        <f>IF('Matriz Normativa &amp; Governança'!$C$8="Alíquota plena — sensibilidade",B58*$C$17/(1+$C$17),IF(O58="",0,B58*O58/(1+O58)))</f>
        <v/>
      </c>
      <c r="U58" s="33">
        <f>E58*Q58</f>
        <v/>
      </c>
      <c r="V58" s="33">
        <f>G58*Q58</f>
        <v/>
      </c>
    </row>
    <row r="59" ht="30" customHeight="1">
      <c r="A59" s="31" t="n">
        <v>17</v>
      </c>
      <c r="B59" s="44">
        <f>IF(A59=1,$C$27*'Premissas &amp; Cenários'!$B$19,IF(A59='Premissas &amp; Cenários'!$B$18,$C$27*'Premissas &amp; Cenários'!$B$21,IF(AND(A59&gt;1,A59&lt;'Premissas &amp; Cenários'!$B$18),$C$27*'Premissas &amp; Cenários'!$B$20/'Premissas &amp; Cenários'!$B$17,0)))</f>
        <v/>
      </c>
      <c r="C59" s="33">
        <f>B59*$C$32</f>
        <v/>
      </c>
      <c r="D59" s="44">
        <f>IF('Matriz Normativa &amp; Governança'!$C$8="Alíquota plena — sensibilidade",C59*$C$17/(1+$C$17),IF(O59="","",C59*O59/(1+O59)))</f>
        <v/>
      </c>
      <c r="E59" s="44">
        <f>IF(AND(A59&gt;='Premissas &amp; Cenários'!$B$14,A59&lt;='Premissas &amp; Cenários'!$B$15),$C$20/'Premissas &amp; Cenários'!$B$17,0)</f>
        <v/>
      </c>
      <c r="F59" s="33">
        <f>E59*$C$22*Q59</f>
        <v/>
      </c>
      <c r="G59" s="44">
        <f>IFERROR('Premissas &amp; Cenários'!$B$22/'Premissas &amp; Cenários'!$B$18,0)</f>
        <v/>
      </c>
      <c r="H59" s="33">
        <f>G59*$C$23*Q59</f>
        <v/>
      </c>
      <c r="I59" s="33">
        <f>K58</f>
        <v/>
      </c>
      <c r="J59" s="33">
        <f>MAX(0,D59-F59-H59-I59)</f>
        <v/>
      </c>
      <c r="K59" s="33">
        <f>MAX(0,I59+F59+H59-D59)</f>
        <v/>
      </c>
      <c r="L59" s="33">
        <f>L58+J59</f>
        <v/>
      </c>
      <c r="M59" s="33">
        <f>SUM($D$43:D59)</f>
        <v/>
      </c>
      <c r="N59" s="44">
        <f>IF(A59&lt;=12,'Premissas &amp; Cenários'!$B$50,IF(A59&lt;=24,'Premissas &amp; Cenários'!$B$50+1,IF(A59&lt;=36,'Premissas &amp; Cenários'!$B$50+2,IF(A59&lt;=48,'Premissas &amp; Cenários'!$B$50+3,'Premissas &amp; Cenários'!$B$50+4))))</f>
        <v/>
      </c>
      <c r="O59" s="47">
        <f>IFERROR(INDEX('Transição Tributária'!$G$13:$G$20,MATCH(N59,'Transição Tributária'!$A$13:$A$20,0)),"")</f>
        <v/>
      </c>
      <c r="P59" s="48">
        <f>IF(O59="","PENDENTE",IFERROR(INDEX('Transição Tributária'!$I$13:$I$20,MATCH(N59,'Transição Tributária'!$A$13:$A$20,0)),"PENDENTE"))</f>
        <v/>
      </c>
      <c r="Q59" s="47">
        <f>IF('Matriz Normativa &amp; Governança'!$C$8="Alíquota plena — sensibilidade",1,IFERROR(INDEX('Transição Tributária'!$L$13:$L$20,MATCH(N59,'Transição Tributária'!$A$13:$A$20,0)),0))</f>
        <v/>
      </c>
      <c r="R59" s="33">
        <f>IF('Matriz Normativa &amp; Governança'!$C$8="Alíquota plena — sensibilidade",0,B59*IFERROR(INDEX('Transição Tributária'!$K$13:$K$20,MATCH(N59,'Transição Tributária'!$A$13:$A$20,0)),0))</f>
        <v/>
      </c>
      <c r="S59" s="44">
        <f>ROUNDUP(A59/3,0)</f>
        <v/>
      </c>
      <c r="T59" s="33">
        <f>IF('Matriz Normativa &amp; Governança'!$C$8="Alíquota plena — sensibilidade",B59*$C$17/(1+$C$17),IF(O59="",0,B59*O59/(1+O59)))</f>
        <v/>
      </c>
      <c r="U59" s="33">
        <f>E59*Q59</f>
        <v/>
      </c>
      <c r="V59" s="33">
        <f>G59*Q59</f>
        <v/>
      </c>
    </row>
    <row r="60" ht="30" customHeight="1">
      <c r="A60" s="31" t="n">
        <v>18</v>
      </c>
      <c r="B60" s="44">
        <f>IF(A60=1,$C$27*'Premissas &amp; Cenários'!$B$19,IF(A60='Premissas &amp; Cenários'!$B$18,$C$27*'Premissas &amp; Cenários'!$B$21,IF(AND(A60&gt;1,A60&lt;'Premissas &amp; Cenários'!$B$18),$C$27*'Premissas &amp; Cenários'!$B$20/'Premissas &amp; Cenários'!$B$17,0)))</f>
        <v/>
      </c>
      <c r="C60" s="33">
        <f>B60*$C$32</f>
        <v/>
      </c>
      <c r="D60" s="44">
        <f>IF('Matriz Normativa &amp; Governança'!$C$8="Alíquota plena — sensibilidade",C60*$C$17/(1+$C$17),IF(O60="","",C60*O60/(1+O60)))</f>
        <v/>
      </c>
      <c r="E60" s="44">
        <f>IF(AND(A60&gt;='Premissas &amp; Cenários'!$B$14,A60&lt;='Premissas &amp; Cenários'!$B$15),$C$20/'Premissas &amp; Cenários'!$B$17,0)</f>
        <v/>
      </c>
      <c r="F60" s="33">
        <f>E60*$C$22*Q60</f>
        <v/>
      </c>
      <c r="G60" s="44">
        <f>IFERROR('Premissas &amp; Cenários'!$B$22/'Premissas &amp; Cenários'!$B$18,0)</f>
        <v/>
      </c>
      <c r="H60" s="33">
        <f>G60*$C$23*Q60</f>
        <v/>
      </c>
      <c r="I60" s="33">
        <f>K59</f>
        <v/>
      </c>
      <c r="J60" s="33">
        <f>MAX(0,D60-F60-H60-I60)</f>
        <v/>
      </c>
      <c r="K60" s="33">
        <f>MAX(0,I60+F60+H60-D60)</f>
        <v/>
      </c>
      <c r="L60" s="33">
        <f>L59+J60</f>
        <v/>
      </c>
      <c r="M60" s="33">
        <f>SUM($D$43:D60)</f>
        <v/>
      </c>
      <c r="N60" s="44">
        <f>IF(A60&lt;=12,'Premissas &amp; Cenários'!$B$50,IF(A60&lt;=24,'Premissas &amp; Cenários'!$B$50+1,IF(A60&lt;=36,'Premissas &amp; Cenários'!$B$50+2,IF(A60&lt;=48,'Premissas &amp; Cenários'!$B$50+3,'Premissas &amp; Cenários'!$B$50+4))))</f>
        <v/>
      </c>
      <c r="O60" s="47">
        <f>IFERROR(INDEX('Transição Tributária'!$G$13:$G$20,MATCH(N60,'Transição Tributária'!$A$13:$A$20,0)),"")</f>
        <v/>
      </c>
      <c r="P60" s="48">
        <f>IF(O60="","PENDENTE",IFERROR(INDEX('Transição Tributária'!$I$13:$I$20,MATCH(N60,'Transição Tributária'!$A$13:$A$20,0)),"PENDENTE"))</f>
        <v/>
      </c>
      <c r="Q60" s="47">
        <f>IF('Matriz Normativa &amp; Governança'!$C$8="Alíquota plena — sensibilidade",1,IFERROR(INDEX('Transição Tributária'!$L$13:$L$20,MATCH(N60,'Transição Tributária'!$A$13:$A$20,0)),0))</f>
        <v/>
      </c>
      <c r="R60" s="33">
        <f>IF('Matriz Normativa &amp; Governança'!$C$8="Alíquota plena — sensibilidade",0,B60*IFERROR(INDEX('Transição Tributária'!$K$13:$K$20,MATCH(N60,'Transição Tributária'!$A$13:$A$20,0)),0))</f>
        <v/>
      </c>
      <c r="S60" s="44">
        <f>ROUNDUP(A60/3,0)</f>
        <v/>
      </c>
      <c r="T60" s="33">
        <f>IF('Matriz Normativa &amp; Governança'!$C$8="Alíquota plena — sensibilidade",B60*$C$17/(1+$C$17),IF(O60="",0,B60*O60/(1+O60)))</f>
        <v/>
      </c>
      <c r="U60" s="33">
        <f>E60*Q60</f>
        <v/>
      </c>
      <c r="V60" s="33">
        <f>G60*Q60</f>
        <v/>
      </c>
    </row>
    <row r="61" ht="30" customHeight="1">
      <c r="A61" s="31" t="n">
        <v>19</v>
      </c>
      <c r="B61" s="44">
        <f>IF(A61=1,$C$27*'Premissas &amp; Cenários'!$B$19,IF(A61='Premissas &amp; Cenários'!$B$18,$C$27*'Premissas &amp; Cenários'!$B$21,IF(AND(A61&gt;1,A61&lt;'Premissas &amp; Cenários'!$B$18),$C$27*'Premissas &amp; Cenários'!$B$20/'Premissas &amp; Cenários'!$B$17,0)))</f>
        <v/>
      </c>
      <c r="C61" s="33">
        <f>B61*$C$32</f>
        <v/>
      </c>
      <c r="D61" s="44">
        <f>IF('Matriz Normativa &amp; Governança'!$C$8="Alíquota plena — sensibilidade",C61*$C$17/(1+$C$17),IF(O61="","",C61*O61/(1+O61)))</f>
        <v/>
      </c>
      <c r="E61" s="44">
        <f>IF(AND(A61&gt;='Premissas &amp; Cenários'!$B$14,A61&lt;='Premissas &amp; Cenários'!$B$15),$C$20/'Premissas &amp; Cenários'!$B$17,0)</f>
        <v/>
      </c>
      <c r="F61" s="33">
        <f>E61*$C$22*Q61</f>
        <v/>
      </c>
      <c r="G61" s="44">
        <f>IFERROR('Premissas &amp; Cenários'!$B$22/'Premissas &amp; Cenários'!$B$18,0)</f>
        <v/>
      </c>
      <c r="H61" s="33">
        <f>G61*$C$23*Q61</f>
        <v/>
      </c>
      <c r="I61" s="33">
        <f>K60</f>
        <v/>
      </c>
      <c r="J61" s="33">
        <f>MAX(0,D61-F61-H61-I61)</f>
        <v/>
      </c>
      <c r="K61" s="33">
        <f>MAX(0,I61+F61+H61-D61)</f>
        <v/>
      </c>
      <c r="L61" s="33">
        <f>L60+J61</f>
        <v/>
      </c>
      <c r="M61" s="33">
        <f>SUM($D$43:D61)</f>
        <v/>
      </c>
      <c r="N61" s="44">
        <f>IF(A61&lt;=12,'Premissas &amp; Cenários'!$B$50,IF(A61&lt;=24,'Premissas &amp; Cenários'!$B$50+1,IF(A61&lt;=36,'Premissas &amp; Cenários'!$B$50+2,IF(A61&lt;=48,'Premissas &amp; Cenários'!$B$50+3,'Premissas &amp; Cenários'!$B$50+4))))</f>
        <v/>
      </c>
      <c r="O61" s="47">
        <f>IFERROR(INDEX('Transição Tributária'!$G$13:$G$20,MATCH(N61,'Transição Tributária'!$A$13:$A$20,0)),"")</f>
        <v/>
      </c>
      <c r="P61" s="48">
        <f>IF(O61="","PENDENTE",IFERROR(INDEX('Transição Tributária'!$I$13:$I$20,MATCH(N61,'Transição Tributária'!$A$13:$A$20,0)),"PENDENTE"))</f>
        <v/>
      </c>
      <c r="Q61" s="47">
        <f>IF('Matriz Normativa &amp; Governança'!$C$8="Alíquota plena — sensibilidade",1,IFERROR(INDEX('Transição Tributária'!$L$13:$L$20,MATCH(N61,'Transição Tributária'!$A$13:$A$20,0)),0))</f>
        <v/>
      </c>
      <c r="R61" s="33">
        <f>IF('Matriz Normativa &amp; Governança'!$C$8="Alíquota plena — sensibilidade",0,B61*IFERROR(INDEX('Transição Tributária'!$K$13:$K$20,MATCH(N61,'Transição Tributária'!$A$13:$A$20,0)),0))</f>
        <v/>
      </c>
      <c r="S61" s="44">
        <f>ROUNDUP(A61/3,0)</f>
        <v/>
      </c>
      <c r="T61" s="33">
        <f>IF('Matriz Normativa &amp; Governança'!$C$8="Alíquota plena — sensibilidade",B61*$C$17/(1+$C$17),IF(O61="",0,B61*O61/(1+O61)))</f>
        <v/>
      </c>
      <c r="U61" s="33">
        <f>E61*Q61</f>
        <v/>
      </c>
      <c r="V61" s="33">
        <f>G61*Q61</f>
        <v/>
      </c>
    </row>
    <row r="62" ht="30" customHeight="1">
      <c r="A62" s="31" t="n">
        <v>20</v>
      </c>
      <c r="B62" s="44">
        <f>IF(A62=1,$C$27*'Premissas &amp; Cenários'!$B$19,IF(A62='Premissas &amp; Cenários'!$B$18,$C$27*'Premissas &amp; Cenários'!$B$21,IF(AND(A62&gt;1,A62&lt;'Premissas &amp; Cenários'!$B$18),$C$27*'Premissas &amp; Cenários'!$B$20/'Premissas &amp; Cenários'!$B$17,0)))</f>
        <v/>
      </c>
      <c r="C62" s="33">
        <f>B62*$C$32</f>
        <v/>
      </c>
      <c r="D62" s="44">
        <f>IF('Matriz Normativa &amp; Governança'!$C$8="Alíquota plena — sensibilidade",C62*$C$17/(1+$C$17),IF(O62="","",C62*O62/(1+O62)))</f>
        <v/>
      </c>
      <c r="E62" s="44">
        <f>IF(AND(A62&gt;='Premissas &amp; Cenários'!$B$14,A62&lt;='Premissas &amp; Cenários'!$B$15),$C$20/'Premissas &amp; Cenários'!$B$17,0)</f>
        <v/>
      </c>
      <c r="F62" s="33">
        <f>E62*$C$22*Q62</f>
        <v/>
      </c>
      <c r="G62" s="44">
        <f>IFERROR('Premissas &amp; Cenários'!$B$22/'Premissas &amp; Cenários'!$B$18,0)</f>
        <v/>
      </c>
      <c r="H62" s="33">
        <f>G62*$C$23*Q62</f>
        <v/>
      </c>
      <c r="I62" s="33">
        <f>K61</f>
        <v/>
      </c>
      <c r="J62" s="33">
        <f>MAX(0,D62-F62-H62-I62)</f>
        <v/>
      </c>
      <c r="K62" s="33">
        <f>MAX(0,I62+F62+H62-D62)</f>
        <v/>
      </c>
      <c r="L62" s="33">
        <f>L61+J62</f>
        <v/>
      </c>
      <c r="M62" s="33">
        <f>SUM($D$43:D62)</f>
        <v/>
      </c>
      <c r="N62" s="44">
        <f>IF(A62&lt;=12,'Premissas &amp; Cenários'!$B$50,IF(A62&lt;=24,'Premissas &amp; Cenários'!$B$50+1,IF(A62&lt;=36,'Premissas &amp; Cenários'!$B$50+2,IF(A62&lt;=48,'Premissas &amp; Cenários'!$B$50+3,'Premissas &amp; Cenários'!$B$50+4))))</f>
        <v/>
      </c>
      <c r="O62" s="47">
        <f>IFERROR(INDEX('Transição Tributária'!$G$13:$G$20,MATCH(N62,'Transição Tributária'!$A$13:$A$20,0)),"")</f>
        <v/>
      </c>
      <c r="P62" s="48">
        <f>IF(O62="","PENDENTE",IFERROR(INDEX('Transição Tributária'!$I$13:$I$20,MATCH(N62,'Transição Tributária'!$A$13:$A$20,0)),"PENDENTE"))</f>
        <v/>
      </c>
      <c r="Q62" s="47">
        <f>IF('Matriz Normativa &amp; Governança'!$C$8="Alíquota plena — sensibilidade",1,IFERROR(INDEX('Transição Tributária'!$L$13:$L$20,MATCH(N62,'Transição Tributária'!$A$13:$A$20,0)),0))</f>
        <v/>
      </c>
      <c r="R62" s="33">
        <f>IF('Matriz Normativa &amp; Governança'!$C$8="Alíquota plena — sensibilidade",0,B62*IFERROR(INDEX('Transição Tributária'!$K$13:$K$20,MATCH(N62,'Transição Tributária'!$A$13:$A$20,0)),0))</f>
        <v/>
      </c>
      <c r="S62" s="44">
        <f>ROUNDUP(A62/3,0)</f>
        <v/>
      </c>
      <c r="T62" s="33">
        <f>IF('Matriz Normativa &amp; Governança'!$C$8="Alíquota plena — sensibilidade",B62*$C$17/(1+$C$17),IF(O62="",0,B62*O62/(1+O62)))</f>
        <v/>
      </c>
      <c r="U62" s="33">
        <f>E62*Q62</f>
        <v/>
      </c>
      <c r="V62" s="33">
        <f>G62*Q62</f>
        <v/>
      </c>
    </row>
    <row r="63" ht="30" customHeight="1">
      <c r="A63" s="31" t="n">
        <v>21</v>
      </c>
      <c r="B63" s="44">
        <f>IF(A63=1,$C$27*'Premissas &amp; Cenários'!$B$19,IF(A63='Premissas &amp; Cenários'!$B$18,$C$27*'Premissas &amp; Cenários'!$B$21,IF(AND(A63&gt;1,A63&lt;'Premissas &amp; Cenários'!$B$18),$C$27*'Premissas &amp; Cenários'!$B$20/'Premissas &amp; Cenários'!$B$17,0)))</f>
        <v/>
      </c>
      <c r="C63" s="33">
        <f>B63*$C$32</f>
        <v/>
      </c>
      <c r="D63" s="44">
        <f>IF('Matriz Normativa &amp; Governança'!$C$8="Alíquota plena — sensibilidade",C63*$C$17/(1+$C$17),IF(O63="","",C63*O63/(1+O63)))</f>
        <v/>
      </c>
      <c r="E63" s="44">
        <f>IF(AND(A63&gt;='Premissas &amp; Cenários'!$B$14,A63&lt;='Premissas &amp; Cenários'!$B$15),$C$20/'Premissas &amp; Cenários'!$B$17,0)</f>
        <v/>
      </c>
      <c r="F63" s="33">
        <f>E63*$C$22*Q63</f>
        <v/>
      </c>
      <c r="G63" s="44">
        <f>IFERROR('Premissas &amp; Cenários'!$B$22/'Premissas &amp; Cenários'!$B$18,0)</f>
        <v/>
      </c>
      <c r="H63" s="33">
        <f>G63*$C$23*Q63</f>
        <v/>
      </c>
      <c r="I63" s="33">
        <f>K62</f>
        <v/>
      </c>
      <c r="J63" s="33">
        <f>MAX(0,D63-F63-H63-I63)</f>
        <v/>
      </c>
      <c r="K63" s="33">
        <f>MAX(0,I63+F63+H63-D63)</f>
        <v/>
      </c>
      <c r="L63" s="33">
        <f>L62+J63</f>
        <v/>
      </c>
      <c r="M63" s="33">
        <f>SUM($D$43:D63)</f>
        <v/>
      </c>
      <c r="N63" s="44">
        <f>IF(A63&lt;=12,'Premissas &amp; Cenários'!$B$50,IF(A63&lt;=24,'Premissas &amp; Cenários'!$B$50+1,IF(A63&lt;=36,'Premissas &amp; Cenários'!$B$50+2,IF(A63&lt;=48,'Premissas &amp; Cenários'!$B$50+3,'Premissas &amp; Cenários'!$B$50+4))))</f>
        <v/>
      </c>
      <c r="O63" s="47">
        <f>IFERROR(INDEX('Transição Tributária'!$G$13:$G$20,MATCH(N63,'Transição Tributária'!$A$13:$A$20,0)),"")</f>
        <v/>
      </c>
      <c r="P63" s="48">
        <f>IF(O63="","PENDENTE",IFERROR(INDEX('Transição Tributária'!$I$13:$I$20,MATCH(N63,'Transição Tributária'!$A$13:$A$20,0)),"PENDENTE"))</f>
        <v/>
      </c>
      <c r="Q63" s="47">
        <f>IF('Matriz Normativa &amp; Governança'!$C$8="Alíquota plena — sensibilidade",1,IFERROR(INDEX('Transição Tributária'!$L$13:$L$20,MATCH(N63,'Transição Tributária'!$A$13:$A$20,0)),0))</f>
        <v/>
      </c>
      <c r="R63" s="33">
        <f>IF('Matriz Normativa &amp; Governança'!$C$8="Alíquota plena — sensibilidade",0,B63*IFERROR(INDEX('Transição Tributária'!$K$13:$K$20,MATCH(N63,'Transição Tributária'!$A$13:$A$20,0)),0))</f>
        <v/>
      </c>
      <c r="S63" s="44">
        <f>ROUNDUP(A63/3,0)</f>
        <v/>
      </c>
      <c r="T63" s="33">
        <f>IF('Matriz Normativa &amp; Governança'!$C$8="Alíquota plena — sensibilidade",B63*$C$17/(1+$C$17),IF(O63="",0,B63*O63/(1+O63)))</f>
        <v/>
      </c>
      <c r="U63" s="33">
        <f>E63*Q63</f>
        <v/>
      </c>
      <c r="V63" s="33">
        <f>G63*Q63</f>
        <v/>
      </c>
    </row>
    <row r="64" ht="30" customHeight="1">
      <c r="A64" s="31" t="n">
        <v>22</v>
      </c>
      <c r="B64" s="44">
        <f>IF(A64=1,$C$27*'Premissas &amp; Cenários'!$B$19,IF(A64='Premissas &amp; Cenários'!$B$18,$C$27*'Premissas &amp; Cenários'!$B$21,IF(AND(A64&gt;1,A64&lt;'Premissas &amp; Cenários'!$B$18),$C$27*'Premissas &amp; Cenários'!$B$20/'Premissas &amp; Cenários'!$B$17,0)))</f>
        <v/>
      </c>
      <c r="C64" s="33">
        <f>B64*$C$32</f>
        <v/>
      </c>
      <c r="D64" s="44">
        <f>IF('Matriz Normativa &amp; Governança'!$C$8="Alíquota plena — sensibilidade",C64*$C$17/(1+$C$17),IF(O64="","",C64*O64/(1+O64)))</f>
        <v/>
      </c>
      <c r="E64" s="44">
        <f>IF(AND(A64&gt;='Premissas &amp; Cenários'!$B$14,A64&lt;='Premissas &amp; Cenários'!$B$15),$C$20/'Premissas &amp; Cenários'!$B$17,0)</f>
        <v/>
      </c>
      <c r="F64" s="33">
        <f>E64*$C$22*Q64</f>
        <v/>
      </c>
      <c r="G64" s="44">
        <f>IFERROR('Premissas &amp; Cenários'!$B$22/'Premissas &amp; Cenários'!$B$18,0)</f>
        <v/>
      </c>
      <c r="H64" s="33">
        <f>G64*$C$23*Q64</f>
        <v/>
      </c>
      <c r="I64" s="33">
        <f>K63</f>
        <v/>
      </c>
      <c r="J64" s="33">
        <f>MAX(0,D64-F64-H64-I64)</f>
        <v/>
      </c>
      <c r="K64" s="33">
        <f>MAX(0,I64+F64+H64-D64)</f>
        <v/>
      </c>
      <c r="L64" s="33">
        <f>L63+J64</f>
        <v/>
      </c>
      <c r="M64" s="33">
        <f>SUM($D$43:D64)</f>
        <v/>
      </c>
      <c r="N64" s="44">
        <f>IF(A64&lt;=12,'Premissas &amp; Cenários'!$B$50,IF(A64&lt;=24,'Premissas &amp; Cenários'!$B$50+1,IF(A64&lt;=36,'Premissas &amp; Cenários'!$B$50+2,IF(A64&lt;=48,'Premissas &amp; Cenários'!$B$50+3,'Premissas &amp; Cenários'!$B$50+4))))</f>
        <v/>
      </c>
      <c r="O64" s="47">
        <f>IFERROR(INDEX('Transição Tributária'!$G$13:$G$20,MATCH(N64,'Transição Tributária'!$A$13:$A$20,0)),"")</f>
        <v/>
      </c>
      <c r="P64" s="48">
        <f>IF(O64="","PENDENTE",IFERROR(INDEX('Transição Tributária'!$I$13:$I$20,MATCH(N64,'Transição Tributária'!$A$13:$A$20,0)),"PENDENTE"))</f>
        <v/>
      </c>
      <c r="Q64" s="47">
        <f>IF('Matriz Normativa &amp; Governança'!$C$8="Alíquota plena — sensibilidade",1,IFERROR(INDEX('Transição Tributária'!$L$13:$L$20,MATCH(N64,'Transição Tributária'!$A$13:$A$20,0)),0))</f>
        <v/>
      </c>
      <c r="R64" s="33">
        <f>IF('Matriz Normativa &amp; Governança'!$C$8="Alíquota plena — sensibilidade",0,B64*IFERROR(INDEX('Transição Tributária'!$K$13:$K$20,MATCH(N64,'Transição Tributária'!$A$13:$A$20,0)),0))</f>
        <v/>
      </c>
      <c r="S64" s="44">
        <f>ROUNDUP(A64/3,0)</f>
        <v/>
      </c>
      <c r="T64" s="33">
        <f>IF('Matriz Normativa &amp; Governança'!$C$8="Alíquota plena — sensibilidade",B64*$C$17/(1+$C$17),IF(O64="",0,B64*O64/(1+O64)))</f>
        <v/>
      </c>
      <c r="U64" s="33">
        <f>E64*Q64</f>
        <v/>
      </c>
      <c r="V64" s="33">
        <f>G64*Q64</f>
        <v/>
      </c>
    </row>
    <row r="65" ht="30" customHeight="1">
      <c r="A65" s="31" t="n">
        <v>23</v>
      </c>
      <c r="B65" s="44">
        <f>IF(A65=1,$C$27*'Premissas &amp; Cenários'!$B$19,IF(A65='Premissas &amp; Cenários'!$B$18,$C$27*'Premissas &amp; Cenários'!$B$21,IF(AND(A65&gt;1,A65&lt;'Premissas &amp; Cenários'!$B$18),$C$27*'Premissas &amp; Cenários'!$B$20/'Premissas &amp; Cenários'!$B$17,0)))</f>
        <v/>
      </c>
      <c r="C65" s="33">
        <f>B65*$C$32</f>
        <v/>
      </c>
      <c r="D65" s="44">
        <f>IF('Matriz Normativa &amp; Governança'!$C$8="Alíquota plena — sensibilidade",C65*$C$17/(1+$C$17),IF(O65="","",C65*O65/(1+O65)))</f>
        <v/>
      </c>
      <c r="E65" s="44">
        <f>IF(AND(A65&gt;='Premissas &amp; Cenários'!$B$14,A65&lt;='Premissas &amp; Cenários'!$B$15),$C$20/'Premissas &amp; Cenários'!$B$17,0)</f>
        <v/>
      </c>
      <c r="F65" s="33">
        <f>E65*$C$22*Q65</f>
        <v/>
      </c>
      <c r="G65" s="44">
        <f>IFERROR('Premissas &amp; Cenários'!$B$22/'Premissas &amp; Cenários'!$B$18,0)</f>
        <v/>
      </c>
      <c r="H65" s="33">
        <f>G65*$C$23*Q65</f>
        <v/>
      </c>
      <c r="I65" s="33">
        <f>K64</f>
        <v/>
      </c>
      <c r="J65" s="33">
        <f>MAX(0,D65-F65-H65-I65)</f>
        <v/>
      </c>
      <c r="K65" s="33">
        <f>MAX(0,I65+F65+H65-D65)</f>
        <v/>
      </c>
      <c r="L65" s="33">
        <f>L64+J65</f>
        <v/>
      </c>
      <c r="M65" s="33">
        <f>SUM($D$43:D65)</f>
        <v/>
      </c>
      <c r="N65" s="44">
        <f>IF(A65&lt;=12,'Premissas &amp; Cenários'!$B$50,IF(A65&lt;=24,'Premissas &amp; Cenários'!$B$50+1,IF(A65&lt;=36,'Premissas &amp; Cenários'!$B$50+2,IF(A65&lt;=48,'Premissas &amp; Cenários'!$B$50+3,'Premissas &amp; Cenários'!$B$50+4))))</f>
        <v/>
      </c>
      <c r="O65" s="47">
        <f>IFERROR(INDEX('Transição Tributária'!$G$13:$G$20,MATCH(N65,'Transição Tributária'!$A$13:$A$20,0)),"")</f>
        <v/>
      </c>
      <c r="P65" s="48">
        <f>IF(O65="","PENDENTE",IFERROR(INDEX('Transição Tributária'!$I$13:$I$20,MATCH(N65,'Transição Tributária'!$A$13:$A$20,0)),"PENDENTE"))</f>
        <v/>
      </c>
      <c r="Q65" s="47">
        <f>IF('Matriz Normativa &amp; Governança'!$C$8="Alíquota plena — sensibilidade",1,IFERROR(INDEX('Transição Tributária'!$L$13:$L$20,MATCH(N65,'Transição Tributária'!$A$13:$A$20,0)),0))</f>
        <v/>
      </c>
      <c r="R65" s="33">
        <f>IF('Matriz Normativa &amp; Governança'!$C$8="Alíquota plena — sensibilidade",0,B65*IFERROR(INDEX('Transição Tributária'!$K$13:$K$20,MATCH(N65,'Transição Tributária'!$A$13:$A$20,0)),0))</f>
        <v/>
      </c>
      <c r="S65" s="44">
        <f>ROUNDUP(A65/3,0)</f>
        <v/>
      </c>
      <c r="T65" s="33">
        <f>IF('Matriz Normativa &amp; Governança'!$C$8="Alíquota plena — sensibilidade",B65*$C$17/(1+$C$17),IF(O65="",0,B65*O65/(1+O65)))</f>
        <v/>
      </c>
      <c r="U65" s="33">
        <f>E65*Q65</f>
        <v/>
      </c>
      <c r="V65" s="33">
        <f>G65*Q65</f>
        <v/>
      </c>
    </row>
    <row r="66" ht="30" customHeight="1">
      <c r="A66" s="31" t="n">
        <v>24</v>
      </c>
      <c r="B66" s="44">
        <f>IF(A66=1,$C$27*'Premissas &amp; Cenários'!$B$19,IF(A66='Premissas &amp; Cenários'!$B$18,$C$27*'Premissas &amp; Cenários'!$B$21,IF(AND(A66&gt;1,A66&lt;'Premissas &amp; Cenários'!$B$18),$C$27*'Premissas &amp; Cenários'!$B$20/'Premissas &amp; Cenários'!$B$17,0)))</f>
        <v/>
      </c>
      <c r="C66" s="33">
        <f>B66*$C$32</f>
        <v/>
      </c>
      <c r="D66" s="44">
        <f>IF('Matriz Normativa &amp; Governança'!$C$8="Alíquota plena — sensibilidade",C66*$C$17/(1+$C$17),IF(O66="","",C66*O66/(1+O66)))</f>
        <v/>
      </c>
      <c r="E66" s="44">
        <f>IF(AND(A66&gt;='Premissas &amp; Cenários'!$B$14,A66&lt;='Premissas &amp; Cenários'!$B$15),$C$20/'Premissas &amp; Cenários'!$B$17,0)</f>
        <v/>
      </c>
      <c r="F66" s="33">
        <f>E66*$C$22*Q66</f>
        <v/>
      </c>
      <c r="G66" s="44">
        <f>IFERROR('Premissas &amp; Cenários'!$B$22/'Premissas &amp; Cenários'!$B$18,0)</f>
        <v/>
      </c>
      <c r="H66" s="33">
        <f>G66*$C$23*Q66</f>
        <v/>
      </c>
      <c r="I66" s="33">
        <f>K65</f>
        <v/>
      </c>
      <c r="J66" s="33">
        <f>MAX(0,D66-F66-H66-I66)</f>
        <v/>
      </c>
      <c r="K66" s="33">
        <f>MAX(0,I66+F66+H66-D66)</f>
        <v/>
      </c>
      <c r="L66" s="33">
        <f>L65+J66</f>
        <v/>
      </c>
      <c r="M66" s="33">
        <f>SUM($D$43:D66)</f>
        <v/>
      </c>
      <c r="N66" s="44">
        <f>IF(A66&lt;=12,'Premissas &amp; Cenários'!$B$50,IF(A66&lt;=24,'Premissas &amp; Cenários'!$B$50+1,IF(A66&lt;=36,'Premissas &amp; Cenários'!$B$50+2,IF(A66&lt;=48,'Premissas &amp; Cenários'!$B$50+3,'Premissas &amp; Cenários'!$B$50+4))))</f>
        <v/>
      </c>
      <c r="O66" s="47">
        <f>IFERROR(INDEX('Transição Tributária'!$G$13:$G$20,MATCH(N66,'Transição Tributária'!$A$13:$A$20,0)),"")</f>
        <v/>
      </c>
      <c r="P66" s="48">
        <f>IF(O66="","PENDENTE",IFERROR(INDEX('Transição Tributária'!$I$13:$I$20,MATCH(N66,'Transição Tributária'!$A$13:$A$20,0)),"PENDENTE"))</f>
        <v/>
      </c>
      <c r="Q66" s="47">
        <f>IF('Matriz Normativa &amp; Governança'!$C$8="Alíquota plena — sensibilidade",1,IFERROR(INDEX('Transição Tributária'!$L$13:$L$20,MATCH(N66,'Transição Tributária'!$A$13:$A$20,0)),0))</f>
        <v/>
      </c>
      <c r="R66" s="33">
        <f>IF('Matriz Normativa &amp; Governança'!$C$8="Alíquota plena — sensibilidade",0,B66*IFERROR(INDEX('Transição Tributária'!$K$13:$K$20,MATCH(N66,'Transição Tributária'!$A$13:$A$20,0)),0))</f>
        <v/>
      </c>
      <c r="S66" s="44">
        <f>ROUNDUP(A66/3,0)</f>
        <v/>
      </c>
      <c r="T66" s="33">
        <f>IF('Matriz Normativa &amp; Governança'!$C$8="Alíquota plena — sensibilidade",B66*$C$17/(1+$C$17),IF(O66="",0,B66*O66/(1+O66)))</f>
        <v/>
      </c>
      <c r="U66" s="33">
        <f>E66*Q66</f>
        <v/>
      </c>
      <c r="V66" s="33">
        <f>G66*Q66</f>
        <v/>
      </c>
    </row>
    <row r="67" ht="30" customHeight="1">
      <c r="A67" s="31" t="n">
        <v>25</v>
      </c>
      <c r="B67" s="44">
        <f>IF(A67=1,$C$27*'Premissas &amp; Cenários'!$B$19,IF(A67='Premissas &amp; Cenários'!$B$18,$C$27*'Premissas &amp; Cenários'!$B$21,IF(AND(A67&gt;1,A67&lt;'Premissas &amp; Cenários'!$B$18),$C$27*'Premissas &amp; Cenários'!$B$20/'Premissas &amp; Cenários'!$B$17,0)))</f>
        <v/>
      </c>
      <c r="C67" s="33">
        <f>B67*$C$32</f>
        <v/>
      </c>
      <c r="D67" s="44">
        <f>IF('Matriz Normativa &amp; Governança'!$C$8="Alíquota plena — sensibilidade",C67*$C$17/(1+$C$17),IF(O67="","",C67*O67/(1+O67)))</f>
        <v/>
      </c>
      <c r="E67" s="44">
        <f>IF(AND(A67&gt;='Premissas &amp; Cenários'!$B$14,A67&lt;='Premissas &amp; Cenários'!$B$15),$C$20/'Premissas &amp; Cenários'!$B$17,0)</f>
        <v/>
      </c>
      <c r="F67" s="33">
        <f>E67*$C$22*Q67</f>
        <v/>
      </c>
      <c r="G67" s="44">
        <f>IFERROR('Premissas &amp; Cenários'!$B$22/'Premissas &amp; Cenários'!$B$18,0)</f>
        <v/>
      </c>
      <c r="H67" s="33">
        <f>G67*$C$23*Q67</f>
        <v/>
      </c>
      <c r="I67" s="33">
        <f>K66</f>
        <v/>
      </c>
      <c r="J67" s="33">
        <f>MAX(0,D67-F67-H67-I67)</f>
        <v/>
      </c>
      <c r="K67" s="33">
        <f>MAX(0,I67+F67+H67-D67)</f>
        <v/>
      </c>
      <c r="L67" s="33">
        <f>L66+J67</f>
        <v/>
      </c>
      <c r="M67" s="33">
        <f>SUM($D$43:D67)</f>
        <v/>
      </c>
      <c r="N67" s="44">
        <f>IF(A67&lt;=12,'Premissas &amp; Cenários'!$B$50,IF(A67&lt;=24,'Premissas &amp; Cenários'!$B$50+1,IF(A67&lt;=36,'Premissas &amp; Cenários'!$B$50+2,IF(A67&lt;=48,'Premissas &amp; Cenários'!$B$50+3,'Premissas &amp; Cenários'!$B$50+4))))</f>
        <v/>
      </c>
      <c r="O67" s="47">
        <f>IFERROR(INDEX('Transição Tributária'!$G$13:$G$20,MATCH(N67,'Transição Tributária'!$A$13:$A$20,0)),"")</f>
        <v/>
      </c>
      <c r="P67" s="48">
        <f>IF(O67="","PENDENTE",IFERROR(INDEX('Transição Tributária'!$I$13:$I$20,MATCH(N67,'Transição Tributária'!$A$13:$A$20,0)),"PENDENTE"))</f>
        <v/>
      </c>
      <c r="Q67" s="47">
        <f>IF('Matriz Normativa &amp; Governança'!$C$8="Alíquota plena — sensibilidade",1,IFERROR(INDEX('Transição Tributária'!$L$13:$L$20,MATCH(N67,'Transição Tributária'!$A$13:$A$20,0)),0))</f>
        <v/>
      </c>
      <c r="R67" s="33">
        <f>IF('Matriz Normativa &amp; Governança'!$C$8="Alíquota plena — sensibilidade",0,B67*IFERROR(INDEX('Transição Tributária'!$K$13:$K$20,MATCH(N67,'Transição Tributária'!$A$13:$A$20,0)),0))</f>
        <v/>
      </c>
      <c r="S67" s="44">
        <f>ROUNDUP(A67/3,0)</f>
        <v/>
      </c>
      <c r="T67" s="33">
        <f>IF('Matriz Normativa &amp; Governança'!$C$8="Alíquota plena — sensibilidade",B67*$C$17/(1+$C$17),IF(O67="",0,B67*O67/(1+O67)))</f>
        <v/>
      </c>
      <c r="U67" s="33">
        <f>E67*Q67</f>
        <v/>
      </c>
      <c r="V67" s="33">
        <f>G67*Q67</f>
        <v/>
      </c>
    </row>
    <row r="68" ht="30" customHeight="1">
      <c r="A68" s="31" t="n">
        <v>26</v>
      </c>
      <c r="B68" s="44">
        <f>IF(A68=1,$C$27*'Premissas &amp; Cenários'!$B$19,IF(A68='Premissas &amp; Cenários'!$B$18,$C$27*'Premissas &amp; Cenários'!$B$21,IF(AND(A68&gt;1,A68&lt;'Premissas &amp; Cenários'!$B$18),$C$27*'Premissas &amp; Cenários'!$B$20/'Premissas &amp; Cenários'!$B$17,0)))</f>
        <v/>
      </c>
      <c r="C68" s="33">
        <f>B68*$C$32</f>
        <v/>
      </c>
      <c r="D68" s="44">
        <f>IF('Matriz Normativa &amp; Governança'!$C$8="Alíquota plena — sensibilidade",C68*$C$17/(1+$C$17),IF(O68="","",C68*O68/(1+O68)))</f>
        <v/>
      </c>
      <c r="E68" s="44">
        <f>IF(AND(A68&gt;='Premissas &amp; Cenários'!$B$14,A68&lt;='Premissas &amp; Cenários'!$B$15),$C$20/'Premissas &amp; Cenários'!$B$17,0)</f>
        <v/>
      </c>
      <c r="F68" s="33">
        <f>E68*$C$22*Q68</f>
        <v/>
      </c>
      <c r="G68" s="44">
        <f>IFERROR('Premissas &amp; Cenários'!$B$22/'Premissas &amp; Cenários'!$B$18,0)</f>
        <v/>
      </c>
      <c r="H68" s="33">
        <f>G68*$C$23*Q68</f>
        <v/>
      </c>
      <c r="I68" s="33">
        <f>K67</f>
        <v/>
      </c>
      <c r="J68" s="33">
        <f>MAX(0,D68-F68-H68-I68)</f>
        <v/>
      </c>
      <c r="K68" s="33">
        <f>MAX(0,I68+F68+H68-D68)</f>
        <v/>
      </c>
      <c r="L68" s="33">
        <f>L67+J68</f>
        <v/>
      </c>
      <c r="M68" s="33">
        <f>SUM($D$43:D68)</f>
        <v/>
      </c>
      <c r="N68" s="44">
        <f>IF(A68&lt;=12,'Premissas &amp; Cenários'!$B$50,IF(A68&lt;=24,'Premissas &amp; Cenários'!$B$50+1,IF(A68&lt;=36,'Premissas &amp; Cenários'!$B$50+2,IF(A68&lt;=48,'Premissas &amp; Cenários'!$B$50+3,'Premissas &amp; Cenários'!$B$50+4))))</f>
        <v/>
      </c>
      <c r="O68" s="47">
        <f>IFERROR(INDEX('Transição Tributária'!$G$13:$G$20,MATCH(N68,'Transição Tributária'!$A$13:$A$20,0)),"")</f>
        <v/>
      </c>
      <c r="P68" s="48">
        <f>IF(O68="","PENDENTE",IFERROR(INDEX('Transição Tributária'!$I$13:$I$20,MATCH(N68,'Transição Tributária'!$A$13:$A$20,0)),"PENDENTE"))</f>
        <v/>
      </c>
      <c r="Q68" s="47">
        <f>IF('Matriz Normativa &amp; Governança'!$C$8="Alíquota plena — sensibilidade",1,IFERROR(INDEX('Transição Tributária'!$L$13:$L$20,MATCH(N68,'Transição Tributária'!$A$13:$A$20,0)),0))</f>
        <v/>
      </c>
      <c r="R68" s="33">
        <f>IF('Matriz Normativa &amp; Governança'!$C$8="Alíquota plena — sensibilidade",0,B68*IFERROR(INDEX('Transição Tributária'!$K$13:$K$20,MATCH(N68,'Transição Tributária'!$A$13:$A$20,0)),0))</f>
        <v/>
      </c>
      <c r="S68" s="44">
        <f>ROUNDUP(A68/3,0)</f>
        <v/>
      </c>
      <c r="T68" s="33">
        <f>IF('Matriz Normativa &amp; Governança'!$C$8="Alíquota plena — sensibilidade",B68*$C$17/(1+$C$17),IF(O68="",0,B68*O68/(1+O68)))</f>
        <v/>
      </c>
      <c r="U68" s="33">
        <f>E68*Q68</f>
        <v/>
      </c>
      <c r="V68" s="33">
        <f>G68*Q68</f>
        <v/>
      </c>
    </row>
    <row r="69" ht="30" customHeight="1">
      <c r="A69" s="31" t="n">
        <v>27</v>
      </c>
      <c r="B69" s="44">
        <f>IF(A69=1,$C$27*'Premissas &amp; Cenários'!$B$19,IF(A69='Premissas &amp; Cenários'!$B$18,$C$27*'Premissas &amp; Cenários'!$B$21,IF(AND(A69&gt;1,A69&lt;'Premissas &amp; Cenários'!$B$18),$C$27*'Premissas &amp; Cenários'!$B$20/'Premissas &amp; Cenários'!$B$17,0)))</f>
        <v/>
      </c>
      <c r="C69" s="33">
        <f>B69*$C$32</f>
        <v/>
      </c>
      <c r="D69" s="44">
        <f>IF('Matriz Normativa &amp; Governança'!$C$8="Alíquota plena — sensibilidade",C69*$C$17/(1+$C$17),IF(O69="","",C69*O69/(1+O69)))</f>
        <v/>
      </c>
      <c r="E69" s="44">
        <f>IF(AND(A69&gt;='Premissas &amp; Cenários'!$B$14,A69&lt;='Premissas &amp; Cenários'!$B$15),$C$20/'Premissas &amp; Cenários'!$B$17,0)</f>
        <v/>
      </c>
      <c r="F69" s="33">
        <f>E69*$C$22*Q69</f>
        <v/>
      </c>
      <c r="G69" s="44">
        <f>IFERROR('Premissas &amp; Cenários'!$B$22/'Premissas &amp; Cenários'!$B$18,0)</f>
        <v/>
      </c>
      <c r="H69" s="33">
        <f>G69*$C$23*Q69</f>
        <v/>
      </c>
      <c r="I69" s="33">
        <f>K68</f>
        <v/>
      </c>
      <c r="J69" s="33">
        <f>MAX(0,D69-F69-H69-I69)</f>
        <v/>
      </c>
      <c r="K69" s="33">
        <f>MAX(0,I69+F69+H69-D69)</f>
        <v/>
      </c>
      <c r="L69" s="33">
        <f>L68+J69</f>
        <v/>
      </c>
      <c r="M69" s="33">
        <f>SUM($D$43:D69)</f>
        <v/>
      </c>
      <c r="N69" s="44">
        <f>IF(A69&lt;=12,'Premissas &amp; Cenários'!$B$50,IF(A69&lt;=24,'Premissas &amp; Cenários'!$B$50+1,IF(A69&lt;=36,'Premissas &amp; Cenários'!$B$50+2,IF(A69&lt;=48,'Premissas &amp; Cenários'!$B$50+3,'Premissas &amp; Cenários'!$B$50+4))))</f>
        <v/>
      </c>
      <c r="O69" s="47">
        <f>IFERROR(INDEX('Transição Tributária'!$G$13:$G$20,MATCH(N69,'Transição Tributária'!$A$13:$A$20,0)),"")</f>
        <v/>
      </c>
      <c r="P69" s="48">
        <f>IF(O69="","PENDENTE",IFERROR(INDEX('Transição Tributária'!$I$13:$I$20,MATCH(N69,'Transição Tributária'!$A$13:$A$20,0)),"PENDENTE"))</f>
        <v/>
      </c>
      <c r="Q69" s="47">
        <f>IF('Matriz Normativa &amp; Governança'!$C$8="Alíquota plena — sensibilidade",1,IFERROR(INDEX('Transição Tributária'!$L$13:$L$20,MATCH(N69,'Transição Tributária'!$A$13:$A$20,0)),0))</f>
        <v/>
      </c>
      <c r="R69" s="33">
        <f>IF('Matriz Normativa &amp; Governança'!$C$8="Alíquota plena — sensibilidade",0,B69*IFERROR(INDEX('Transição Tributária'!$K$13:$K$20,MATCH(N69,'Transição Tributária'!$A$13:$A$20,0)),0))</f>
        <v/>
      </c>
      <c r="S69" s="44">
        <f>ROUNDUP(A69/3,0)</f>
        <v/>
      </c>
      <c r="T69" s="33">
        <f>IF('Matriz Normativa &amp; Governança'!$C$8="Alíquota plena — sensibilidade",B69*$C$17/(1+$C$17),IF(O69="",0,B69*O69/(1+O69)))</f>
        <v/>
      </c>
      <c r="U69" s="33">
        <f>E69*Q69</f>
        <v/>
      </c>
      <c r="V69" s="33">
        <f>G69*Q69</f>
        <v/>
      </c>
    </row>
    <row r="70" ht="30" customHeight="1">
      <c r="A70" s="31" t="n">
        <v>28</v>
      </c>
      <c r="B70" s="44">
        <f>IF(A70=1,$C$27*'Premissas &amp; Cenários'!$B$19,IF(A70='Premissas &amp; Cenários'!$B$18,$C$27*'Premissas &amp; Cenários'!$B$21,IF(AND(A70&gt;1,A70&lt;'Premissas &amp; Cenários'!$B$18),$C$27*'Premissas &amp; Cenários'!$B$20/'Premissas &amp; Cenários'!$B$17,0)))</f>
        <v/>
      </c>
      <c r="C70" s="33">
        <f>B70*$C$32</f>
        <v/>
      </c>
      <c r="D70" s="44">
        <f>IF('Matriz Normativa &amp; Governança'!$C$8="Alíquota plena — sensibilidade",C70*$C$17/(1+$C$17),IF(O70="","",C70*O70/(1+O70)))</f>
        <v/>
      </c>
      <c r="E70" s="44">
        <f>IF(AND(A70&gt;='Premissas &amp; Cenários'!$B$14,A70&lt;='Premissas &amp; Cenários'!$B$15),$C$20/'Premissas &amp; Cenários'!$B$17,0)</f>
        <v/>
      </c>
      <c r="F70" s="33">
        <f>E70*$C$22*Q70</f>
        <v/>
      </c>
      <c r="G70" s="44">
        <f>IFERROR('Premissas &amp; Cenários'!$B$22/'Premissas &amp; Cenários'!$B$18,0)</f>
        <v/>
      </c>
      <c r="H70" s="33">
        <f>G70*$C$23*Q70</f>
        <v/>
      </c>
      <c r="I70" s="33">
        <f>K69</f>
        <v/>
      </c>
      <c r="J70" s="33">
        <f>MAX(0,D70-F70-H70-I70)</f>
        <v/>
      </c>
      <c r="K70" s="33">
        <f>MAX(0,I70+F70+H70-D70)</f>
        <v/>
      </c>
      <c r="L70" s="33">
        <f>L69+J70</f>
        <v/>
      </c>
      <c r="M70" s="33">
        <f>SUM($D$43:D70)</f>
        <v/>
      </c>
      <c r="N70" s="44">
        <f>IF(A70&lt;=12,'Premissas &amp; Cenários'!$B$50,IF(A70&lt;=24,'Premissas &amp; Cenários'!$B$50+1,IF(A70&lt;=36,'Premissas &amp; Cenários'!$B$50+2,IF(A70&lt;=48,'Premissas &amp; Cenários'!$B$50+3,'Premissas &amp; Cenários'!$B$50+4))))</f>
        <v/>
      </c>
      <c r="O70" s="47">
        <f>IFERROR(INDEX('Transição Tributária'!$G$13:$G$20,MATCH(N70,'Transição Tributária'!$A$13:$A$20,0)),"")</f>
        <v/>
      </c>
      <c r="P70" s="48">
        <f>IF(O70="","PENDENTE",IFERROR(INDEX('Transição Tributária'!$I$13:$I$20,MATCH(N70,'Transição Tributária'!$A$13:$A$20,0)),"PENDENTE"))</f>
        <v/>
      </c>
      <c r="Q70" s="47">
        <f>IF('Matriz Normativa &amp; Governança'!$C$8="Alíquota plena — sensibilidade",1,IFERROR(INDEX('Transição Tributária'!$L$13:$L$20,MATCH(N70,'Transição Tributária'!$A$13:$A$20,0)),0))</f>
        <v/>
      </c>
      <c r="R70" s="33">
        <f>IF('Matriz Normativa &amp; Governança'!$C$8="Alíquota plena — sensibilidade",0,B70*IFERROR(INDEX('Transição Tributária'!$K$13:$K$20,MATCH(N70,'Transição Tributária'!$A$13:$A$20,0)),0))</f>
        <v/>
      </c>
      <c r="S70" s="44">
        <f>ROUNDUP(A70/3,0)</f>
        <v/>
      </c>
      <c r="T70" s="33">
        <f>IF('Matriz Normativa &amp; Governança'!$C$8="Alíquota plena — sensibilidade",B70*$C$17/(1+$C$17),IF(O70="",0,B70*O70/(1+O70)))</f>
        <v/>
      </c>
      <c r="U70" s="33">
        <f>E70*Q70</f>
        <v/>
      </c>
      <c r="V70" s="33">
        <f>G70*Q70</f>
        <v/>
      </c>
    </row>
    <row r="71" ht="30" customHeight="1">
      <c r="A71" s="31" t="n">
        <v>29</v>
      </c>
      <c r="B71" s="44">
        <f>IF(A71=1,$C$27*'Premissas &amp; Cenários'!$B$19,IF(A71='Premissas &amp; Cenários'!$B$18,$C$27*'Premissas &amp; Cenários'!$B$21,IF(AND(A71&gt;1,A71&lt;'Premissas &amp; Cenários'!$B$18),$C$27*'Premissas &amp; Cenários'!$B$20/'Premissas &amp; Cenários'!$B$17,0)))</f>
        <v/>
      </c>
      <c r="C71" s="33">
        <f>B71*$C$32</f>
        <v/>
      </c>
      <c r="D71" s="44">
        <f>IF('Matriz Normativa &amp; Governança'!$C$8="Alíquota plena — sensibilidade",C71*$C$17/(1+$C$17),IF(O71="","",C71*O71/(1+O71)))</f>
        <v/>
      </c>
      <c r="E71" s="44">
        <f>IF(AND(A71&gt;='Premissas &amp; Cenários'!$B$14,A71&lt;='Premissas &amp; Cenários'!$B$15),$C$20/'Premissas &amp; Cenários'!$B$17,0)</f>
        <v/>
      </c>
      <c r="F71" s="33">
        <f>E71*$C$22*Q71</f>
        <v/>
      </c>
      <c r="G71" s="44">
        <f>IFERROR('Premissas &amp; Cenários'!$B$22/'Premissas &amp; Cenários'!$B$18,0)</f>
        <v/>
      </c>
      <c r="H71" s="33">
        <f>G71*$C$23*Q71</f>
        <v/>
      </c>
      <c r="I71" s="33">
        <f>K70</f>
        <v/>
      </c>
      <c r="J71" s="33">
        <f>MAX(0,D71-F71-H71-I71)</f>
        <v/>
      </c>
      <c r="K71" s="33">
        <f>MAX(0,I71+F71+H71-D71)</f>
        <v/>
      </c>
      <c r="L71" s="33">
        <f>L70+J71</f>
        <v/>
      </c>
      <c r="M71" s="33">
        <f>SUM($D$43:D71)</f>
        <v/>
      </c>
      <c r="N71" s="44">
        <f>IF(A71&lt;=12,'Premissas &amp; Cenários'!$B$50,IF(A71&lt;=24,'Premissas &amp; Cenários'!$B$50+1,IF(A71&lt;=36,'Premissas &amp; Cenários'!$B$50+2,IF(A71&lt;=48,'Premissas &amp; Cenários'!$B$50+3,'Premissas &amp; Cenários'!$B$50+4))))</f>
        <v/>
      </c>
      <c r="O71" s="47">
        <f>IFERROR(INDEX('Transição Tributária'!$G$13:$G$20,MATCH(N71,'Transição Tributária'!$A$13:$A$20,0)),"")</f>
        <v/>
      </c>
      <c r="P71" s="48">
        <f>IF(O71="","PENDENTE",IFERROR(INDEX('Transição Tributária'!$I$13:$I$20,MATCH(N71,'Transição Tributária'!$A$13:$A$20,0)),"PENDENTE"))</f>
        <v/>
      </c>
      <c r="Q71" s="47">
        <f>IF('Matriz Normativa &amp; Governança'!$C$8="Alíquota plena — sensibilidade",1,IFERROR(INDEX('Transição Tributária'!$L$13:$L$20,MATCH(N71,'Transição Tributária'!$A$13:$A$20,0)),0))</f>
        <v/>
      </c>
      <c r="R71" s="33">
        <f>IF('Matriz Normativa &amp; Governança'!$C$8="Alíquota plena — sensibilidade",0,B71*IFERROR(INDEX('Transição Tributária'!$K$13:$K$20,MATCH(N71,'Transição Tributária'!$A$13:$A$20,0)),0))</f>
        <v/>
      </c>
      <c r="S71" s="44">
        <f>ROUNDUP(A71/3,0)</f>
        <v/>
      </c>
      <c r="T71" s="33">
        <f>IF('Matriz Normativa &amp; Governança'!$C$8="Alíquota plena — sensibilidade",B71*$C$17/(1+$C$17),IF(O71="",0,B71*O71/(1+O71)))</f>
        <v/>
      </c>
      <c r="U71" s="33">
        <f>E71*Q71</f>
        <v/>
      </c>
      <c r="V71" s="33">
        <f>G71*Q71</f>
        <v/>
      </c>
    </row>
    <row r="72" ht="30" customHeight="1">
      <c r="A72" s="31" t="n">
        <v>30</v>
      </c>
      <c r="B72" s="44">
        <f>IF(A72=1,$C$27*'Premissas &amp; Cenários'!$B$19,IF(A72='Premissas &amp; Cenários'!$B$18,$C$27*'Premissas &amp; Cenários'!$B$21,IF(AND(A72&gt;1,A72&lt;'Premissas &amp; Cenários'!$B$18),$C$27*'Premissas &amp; Cenários'!$B$20/'Premissas &amp; Cenários'!$B$17,0)))</f>
        <v/>
      </c>
      <c r="C72" s="33">
        <f>B72*$C$32</f>
        <v/>
      </c>
      <c r="D72" s="44">
        <f>IF('Matriz Normativa &amp; Governança'!$C$8="Alíquota plena — sensibilidade",C72*$C$17/(1+$C$17),IF(O72="","",C72*O72/(1+O72)))</f>
        <v/>
      </c>
      <c r="E72" s="44">
        <f>IF(AND(A72&gt;='Premissas &amp; Cenários'!$B$14,A72&lt;='Premissas &amp; Cenários'!$B$15),$C$20/'Premissas &amp; Cenários'!$B$17,0)</f>
        <v/>
      </c>
      <c r="F72" s="33">
        <f>E72*$C$22*Q72</f>
        <v/>
      </c>
      <c r="G72" s="44">
        <f>IFERROR('Premissas &amp; Cenários'!$B$22/'Premissas &amp; Cenários'!$B$18,0)</f>
        <v/>
      </c>
      <c r="H72" s="33">
        <f>G72*$C$23*Q72</f>
        <v/>
      </c>
      <c r="I72" s="33">
        <f>K71</f>
        <v/>
      </c>
      <c r="J72" s="33">
        <f>MAX(0,D72-F72-H72-I72)</f>
        <v/>
      </c>
      <c r="K72" s="33">
        <f>MAX(0,I72+F72+H72-D72)</f>
        <v/>
      </c>
      <c r="L72" s="33">
        <f>L71+J72</f>
        <v/>
      </c>
      <c r="M72" s="33">
        <f>SUM($D$43:D72)</f>
        <v/>
      </c>
      <c r="N72" s="44">
        <f>IF(A72&lt;=12,'Premissas &amp; Cenários'!$B$50,IF(A72&lt;=24,'Premissas &amp; Cenários'!$B$50+1,IF(A72&lt;=36,'Premissas &amp; Cenários'!$B$50+2,IF(A72&lt;=48,'Premissas &amp; Cenários'!$B$50+3,'Premissas &amp; Cenários'!$B$50+4))))</f>
        <v/>
      </c>
      <c r="O72" s="47">
        <f>IFERROR(INDEX('Transição Tributária'!$G$13:$G$20,MATCH(N72,'Transição Tributária'!$A$13:$A$20,0)),"")</f>
        <v/>
      </c>
      <c r="P72" s="48">
        <f>IF(O72="","PENDENTE",IFERROR(INDEX('Transição Tributária'!$I$13:$I$20,MATCH(N72,'Transição Tributária'!$A$13:$A$20,0)),"PENDENTE"))</f>
        <v/>
      </c>
      <c r="Q72" s="47">
        <f>IF('Matriz Normativa &amp; Governança'!$C$8="Alíquota plena — sensibilidade",1,IFERROR(INDEX('Transição Tributária'!$L$13:$L$20,MATCH(N72,'Transição Tributária'!$A$13:$A$20,0)),0))</f>
        <v/>
      </c>
      <c r="R72" s="33">
        <f>IF('Matriz Normativa &amp; Governança'!$C$8="Alíquota plena — sensibilidade",0,B72*IFERROR(INDEX('Transição Tributária'!$K$13:$K$20,MATCH(N72,'Transição Tributária'!$A$13:$A$20,0)),0))</f>
        <v/>
      </c>
      <c r="S72" s="44">
        <f>ROUNDUP(A72/3,0)</f>
        <v/>
      </c>
      <c r="T72" s="33">
        <f>IF('Matriz Normativa &amp; Governança'!$C$8="Alíquota plena — sensibilidade",B72*$C$17/(1+$C$17),IF(O72="",0,B72*O72/(1+O72)))</f>
        <v/>
      </c>
      <c r="U72" s="33">
        <f>E72*Q72</f>
        <v/>
      </c>
      <c r="V72" s="33">
        <f>G72*Q72</f>
        <v/>
      </c>
    </row>
    <row r="73" ht="30" customHeight="1">
      <c r="A73" s="31" t="n">
        <v>31</v>
      </c>
      <c r="B73" s="44">
        <f>IF(A73=1,$C$27*'Premissas &amp; Cenários'!$B$19,IF(A73='Premissas &amp; Cenários'!$B$18,$C$27*'Premissas &amp; Cenários'!$B$21,IF(AND(A73&gt;1,A73&lt;'Premissas &amp; Cenários'!$B$18),$C$27*'Premissas &amp; Cenários'!$B$20/'Premissas &amp; Cenários'!$B$17,0)))</f>
        <v/>
      </c>
      <c r="C73" s="33">
        <f>B73*$C$32</f>
        <v/>
      </c>
      <c r="D73" s="44">
        <f>IF('Matriz Normativa &amp; Governança'!$C$8="Alíquota plena — sensibilidade",C73*$C$17/(1+$C$17),IF(O73="","",C73*O73/(1+O73)))</f>
        <v/>
      </c>
      <c r="E73" s="44">
        <f>IF(AND(A73&gt;='Premissas &amp; Cenários'!$B$14,A73&lt;='Premissas &amp; Cenários'!$B$15),$C$20/'Premissas &amp; Cenários'!$B$17,0)</f>
        <v/>
      </c>
      <c r="F73" s="33">
        <f>E73*$C$22*Q73</f>
        <v/>
      </c>
      <c r="G73" s="44">
        <f>IFERROR('Premissas &amp; Cenários'!$B$22/'Premissas &amp; Cenários'!$B$18,0)</f>
        <v/>
      </c>
      <c r="H73" s="33">
        <f>G73*$C$23*Q73</f>
        <v/>
      </c>
      <c r="I73" s="33">
        <f>K72</f>
        <v/>
      </c>
      <c r="J73" s="33">
        <f>MAX(0,D73-F73-H73-I73)</f>
        <v/>
      </c>
      <c r="K73" s="33">
        <f>MAX(0,I73+F73+H73-D73)</f>
        <v/>
      </c>
      <c r="L73" s="33">
        <f>L72+J73</f>
        <v/>
      </c>
      <c r="M73" s="33">
        <f>SUM($D$43:D73)</f>
        <v/>
      </c>
      <c r="N73" s="44">
        <f>IF(A73&lt;=12,'Premissas &amp; Cenários'!$B$50,IF(A73&lt;=24,'Premissas &amp; Cenários'!$B$50+1,IF(A73&lt;=36,'Premissas &amp; Cenários'!$B$50+2,IF(A73&lt;=48,'Premissas &amp; Cenários'!$B$50+3,'Premissas &amp; Cenários'!$B$50+4))))</f>
        <v/>
      </c>
      <c r="O73" s="47">
        <f>IFERROR(INDEX('Transição Tributária'!$G$13:$G$20,MATCH(N73,'Transição Tributária'!$A$13:$A$20,0)),"")</f>
        <v/>
      </c>
      <c r="P73" s="48">
        <f>IF(O73="","PENDENTE",IFERROR(INDEX('Transição Tributária'!$I$13:$I$20,MATCH(N73,'Transição Tributária'!$A$13:$A$20,0)),"PENDENTE"))</f>
        <v/>
      </c>
      <c r="Q73" s="47">
        <f>IF('Matriz Normativa &amp; Governança'!$C$8="Alíquota plena — sensibilidade",1,IFERROR(INDEX('Transição Tributária'!$L$13:$L$20,MATCH(N73,'Transição Tributária'!$A$13:$A$20,0)),0))</f>
        <v/>
      </c>
      <c r="R73" s="33">
        <f>IF('Matriz Normativa &amp; Governança'!$C$8="Alíquota plena — sensibilidade",0,B73*IFERROR(INDEX('Transição Tributária'!$K$13:$K$20,MATCH(N73,'Transição Tributária'!$A$13:$A$20,0)),0))</f>
        <v/>
      </c>
      <c r="S73" s="44">
        <f>ROUNDUP(A73/3,0)</f>
        <v/>
      </c>
      <c r="T73" s="33">
        <f>IF('Matriz Normativa &amp; Governança'!$C$8="Alíquota plena — sensibilidade",B73*$C$17/(1+$C$17),IF(O73="",0,B73*O73/(1+O73)))</f>
        <v/>
      </c>
      <c r="U73" s="33">
        <f>E73*Q73</f>
        <v/>
      </c>
      <c r="V73" s="33">
        <f>G73*Q73</f>
        <v/>
      </c>
    </row>
    <row r="74" ht="30" customHeight="1">
      <c r="A74" s="31" t="n">
        <v>32</v>
      </c>
      <c r="B74" s="44">
        <f>IF(A74=1,$C$27*'Premissas &amp; Cenários'!$B$19,IF(A74='Premissas &amp; Cenários'!$B$18,$C$27*'Premissas &amp; Cenários'!$B$21,IF(AND(A74&gt;1,A74&lt;'Premissas &amp; Cenários'!$B$18),$C$27*'Premissas &amp; Cenários'!$B$20/'Premissas &amp; Cenários'!$B$17,0)))</f>
        <v/>
      </c>
      <c r="C74" s="33">
        <f>B74*$C$32</f>
        <v/>
      </c>
      <c r="D74" s="44">
        <f>IF('Matriz Normativa &amp; Governança'!$C$8="Alíquota plena — sensibilidade",C74*$C$17/(1+$C$17),IF(O74="","",C74*O74/(1+O74)))</f>
        <v/>
      </c>
      <c r="E74" s="44">
        <f>IF(AND(A74&gt;='Premissas &amp; Cenários'!$B$14,A74&lt;='Premissas &amp; Cenários'!$B$15),$C$20/'Premissas &amp; Cenários'!$B$17,0)</f>
        <v/>
      </c>
      <c r="F74" s="33">
        <f>E74*$C$22*Q74</f>
        <v/>
      </c>
      <c r="G74" s="44">
        <f>IFERROR('Premissas &amp; Cenários'!$B$22/'Premissas &amp; Cenários'!$B$18,0)</f>
        <v/>
      </c>
      <c r="H74" s="33">
        <f>G74*$C$23*Q74</f>
        <v/>
      </c>
      <c r="I74" s="33">
        <f>K73</f>
        <v/>
      </c>
      <c r="J74" s="33">
        <f>MAX(0,D74-F74-H74-I74)</f>
        <v/>
      </c>
      <c r="K74" s="33">
        <f>MAX(0,I74+F74+H74-D74)</f>
        <v/>
      </c>
      <c r="L74" s="33">
        <f>L73+J74</f>
        <v/>
      </c>
      <c r="M74" s="33">
        <f>SUM($D$43:D74)</f>
        <v/>
      </c>
      <c r="N74" s="44">
        <f>IF(A74&lt;=12,'Premissas &amp; Cenários'!$B$50,IF(A74&lt;=24,'Premissas &amp; Cenários'!$B$50+1,IF(A74&lt;=36,'Premissas &amp; Cenários'!$B$50+2,IF(A74&lt;=48,'Premissas &amp; Cenários'!$B$50+3,'Premissas &amp; Cenários'!$B$50+4))))</f>
        <v/>
      </c>
      <c r="O74" s="47">
        <f>IFERROR(INDEX('Transição Tributária'!$G$13:$G$20,MATCH(N74,'Transição Tributária'!$A$13:$A$20,0)),"")</f>
        <v/>
      </c>
      <c r="P74" s="48">
        <f>IF(O74="","PENDENTE",IFERROR(INDEX('Transição Tributária'!$I$13:$I$20,MATCH(N74,'Transição Tributária'!$A$13:$A$20,0)),"PENDENTE"))</f>
        <v/>
      </c>
      <c r="Q74" s="47">
        <f>IF('Matriz Normativa &amp; Governança'!$C$8="Alíquota plena — sensibilidade",1,IFERROR(INDEX('Transição Tributária'!$L$13:$L$20,MATCH(N74,'Transição Tributária'!$A$13:$A$20,0)),0))</f>
        <v/>
      </c>
      <c r="R74" s="33">
        <f>IF('Matriz Normativa &amp; Governança'!$C$8="Alíquota plena — sensibilidade",0,B74*IFERROR(INDEX('Transição Tributária'!$K$13:$K$20,MATCH(N74,'Transição Tributária'!$A$13:$A$20,0)),0))</f>
        <v/>
      </c>
      <c r="S74" s="44">
        <f>ROUNDUP(A74/3,0)</f>
        <v/>
      </c>
      <c r="T74" s="33">
        <f>IF('Matriz Normativa &amp; Governança'!$C$8="Alíquota plena — sensibilidade",B74*$C$17/(1+$C$17),IF(O74="",0,B74*O74/(1+O74)))</f>
        <v/>
      </c>
      <c r="U74" s="33">
        <f>E74*Q74</f>
        <v/>
      </c>
      <c r="V74" s="33">
        <f>G74*Q74</f>
        <v/>
      </c>
    </row>
    <row r="75" ht="30" customHeight="1">
      <c r="A75" s="31" t="n">
        <v>33</v>
      </c>
      <c r="B75" s="44">
        <f>IF(A75=1,$C$27*'Premissas &amp; Cenários'!$B$19,IF(A75='Premissas &amp; Cenários'!$B$18,$C$27*'Premissas &amp; Cenários'!$B$21,IF(AND(A75&gt;1,A75&lt;'Premissas &amp; Cenários'!$B$18),$C$27*'Premissas &amp; Cenários'!$B$20/'Premissas &amp; Cenários'!$B$17,0)))</f>
        <v/>
      </c>
      <c r="C75" s="33">
        <f>B75*$C$32</f>
        <v/>
      </c>
      <c r="D75" s="44">
        <f>IF('Matriz Normativa &amp; Governança'!$C$8="Alíquota plena — sensibilidade",C75*$C$17/(1+$C$17),IF(O75="","",C75*O75/(1+O75)))</f>
        <v/>
      </c>
      <c r="E75" s="44">
        <f>IF(AND(A75&gt;='Premissas &amp; Cenários'!$B$14,A75&lt;='Premissas &amp; Cenários'!$B$15),$C$20/'Premissas &amp; Cenários'!$B$17,0)</f>
        <v/>
      </c>
      <c r="F75" s="33">
        <f>E75*$C$22*Q75</f>
        <v/>
      </c>
      <c r="G75" s="44">
        <f>IFERROR('Premissas &amp; Cenários'!$B$22/'Premissas &amp; Cenários'!$B$18,0)</f>
        <v/>
      </c>
      <c r="H75" s="33">
        <f>G75*$C$23*Q75</f>
        <v/>
      </c>
      <c r="I75" s="33">
        <f>K74</f>
        <v/>
      </c>
      <c r="J75" s="33">
        <f>MAX(0,D75-F75-H75-I75)</f>
        <v/>
      </c>
      <c r="K75" s="33">
        <f>MAX(0,I75+F75+H75-D75)</f>
        <v/>
      </c>
      <c r="L75" s="33">
        <f>L74+J75</f>
        <v/>
      </c>
      <c r="M75" s="33">
        <f>SUM($D$43:D75)</f>
        <v/>
      </c>
      <c r="N75" s="44">
        <f>IF(A75&lt;=12,'Premissas &amp; Cenários'!$B$50,IF(A75&lt;=24,'Premissas &amp; Cenários'!$B$50+1,IF(A75&lt;=36,'Premissas &amp; Cenários'!$B$50+2,IF(A75&lt;=48,'Premissas &amp; Cenários'!$B$50+3,'Premissas &amp; Cenários'!$B$50+4))))</f>
        <v/>
      </c>
      <c r="O75" s="47">
        <f>IFERROR(INDEX('Transição Tributária'!$G$13:$G$20,MATCH(N75,'Transição Tributária'!$A$13:$A$20,0)),"")</f>
        <v/>
      </c>
      <c r="P75" s="48">
        <f>IF(O75="","PENDENTE",IFERROR(INDEX('Transição Tributária'!$I$13:$I$20,MATCH(N75,'Transição Tributária'!$A$13:$A$20,0)),"PENDENTE"))</f>
        <v/>
      </c>
      <c r="Q75" s="47">
        <f>IF('Matriz Normativa &amp; Governança'!$C$8="Alíquota plena — sensibilidade",1,IFERROR(INDEX('Transição Tributária'!$L$13:$L$20,MATCH(N75,'Transição Tributária'!$A$13:$A$20,0)),0))</f>
        <v/>
      </c>
      <c r="R75" s="33">
        <f>IF('Matriz Normativa &amp; Governança'!$C$8="Alíquota plena — sensibilidade",0,B75*IFERROR(INDEX('Transição Tributária'!$K$13:$K$20,MATCH(N75,'Transição Tributária'!$A$13:$A$20,0)),0))</f>
        <v/>
      </c>
      <c r="S75" s="44">
        <f>ROUNDUP(A75/3,0)</f>
        <v/>
      </c>
      <c r="T75" s="33">
        <f>IF('Matriz Normativa &amp; Governança'!$C$8="Alíquota plena — sensibilidade",B75*$C$17/(1+$C$17),IF(O75="",0,B75*O75/(1+O75)))</f>
        <v/>
      </c>
      <c r="U75" s="33">
        <f>E75*Q75</f>
        <v/>
      </c>
      <c r="V75" s="33">
        <f>G75*Q75</f>
        <v/>
      </c>
    </row>
    <row r="76" ht="30" customHeight="1">
      <c r="A76" s="31" t="n">
        <v>34</v>
      </c>
      <c r="B76" s="44">
        <f>IF(A76=1,$C$27*'Premissas &amp; Cenários'!$B$19,IF(A76='Premissas &amp; Cenários'!$B$18,$C$27*'Premissas &amp; Cenários'!$B$21,IF(AND(A76&gt;1,A76&lt;'Premissas &amp; Cenários'!$B$18),$C$27*'Premissas &amp; Cenários'!$B$20/'Premissas &amp; Cenários'!$B$17,0)))</f>
        <v/>
      </c>
      <c r="C76" s="33">
        <f>B76*$C$32</f>
        <v/>
      </c>
      <c r="D76" s="44">
        <f>IF('Matriz Normativa &amp; Governança'!$C$8="Alíquota plena — sensibilidade",C76*$C$17/(1+$C$17),IF(O76="","",C76*O76/(1+O76)))</f>
        <v/>
      </c>
      <c r="E76" s="44">
        <f>IF(AND(A76&gt;='Premissas &amp; Cenários'!$B$14,A76&lt;='Premissas &amp; Cenários'!$B$15),$C$20/'Premissas &amp; Cenários'!$B$17,0)</f>
        <v/>
      </c>
      <c r="F76" s="33">
        <f>E76*$C$22*Q76</f>
        <v/>
      </c>
      <c r="G76" s="44">
        <f>IFERROR('Premissas &amp; Cenários'!$B$22/'Premissas &amp; Cenários'!$B$18,0)</f>
        <v/>
      </c>
      <c r="H76" s="33">
        <f>G76*$C$23*Q76</f>
        <v/>
      </c>
      <c r="I76" s="33">
        <f>K75</f>
        <v/>
      </c>
      <c r="J76" s="33">
        <f>MAX(0,D76-F76-H76-I76)</f>
        <v/>
      </c>
      <c r="K76" s="33">
        <f>MAX(0,I76+F76+H76-D76)</f>
        <v/>
      </c>
      <c r="L76" s="33">
        <f>L75+J76</f>
        <v/>
      </c>
      <c r="M76" s="33">
        <f>SUM($D$43:D76)</f>
        <v/>
      </c>
      <c r="N76" s="44">
        <f>IF(A76&lt;=12,'Premissas &amp; Cenários'!$B$50,IF(A76&lt;=24,'Premissas &amp; Cenários'!$B$50+1,IF(A76&lt;=36,'Premissas &amp; Cenários'!$B$50+2,IF(A76&lt;=48,'Premissas &amp; Cenários'!$B$50+3,'Premissas &amp; Cenários'!$B$50+4))))</f>
        <v/>
      </c>
      <c r="O76" s="47">
        <f>IFERROR(INDEX('Transição Tributária'!$G$13:$G$20,MATCH(N76,'Transição Tributária'!$A$13:$A$20,0)),"")</f>
        <v/>
      </c>
      <c r="P76" s="48">
        <f>IF(O76="","PENDENTE",IFERROR(INDEX('Transição Tributária'!$I$13:$I$20,MATCH(N76,'Transição Tributária'!$A$13:$A$20,0)),"PENDENTE"))</f>
        <v/>
      </c>
      <c r="Q76" s="47">
        <f>IF('Matriz Normativa &amp; Governança'!$C$8="Alíquota plena — sensibilidade",1,IFERROR(INDEX('Transição Tributária'!$L$13:$L$20,MATCH(N76,'Transição Tributária'!$A$13:$A$20,0)),0))</f>
        <v/>
      </c>
      <c r="R76" s="33">
        <f>IF('Matriz Normativa &amp; Governança'!$C$8="Alíquota plena — sensibilidade",0,B76*IFERROR(INDEX('Transição Tributária'!$K$13:$K$20,MATCH(N76,'Transição Tributária'!$A$13:$A$20,0)),0))</f>
        <v/>
      </c>
      <c r="S76" s="44">
        <f>ROUNDUP(A76/3,0)</f>
        <v/>
      </c>
      <c r="T76" s="33">
        <f>IF('Matriz Normativa &amp; Governança'!$C$8="Alíquota plena — sensibilidade",B76*$C$17/(1+$C$17),IF(O76="",0,B76*O76/(1+O76)))</f>
        <v/>
      </c>
      <c r="U76" s="33">
        <f>E76*Q76</f>
        <v/>
      </c>
      <c r="V76" s="33">
        <f>G76*Q76</f>
        <v/>
      </c>
    </row>
    <row r="77" ht="30" customHeight="1">
      <c r="A77" s="31" t="n">
        <v>35</v>
      </c>
      <c r="B77" s="44">
        <f>IF(A77=1,$C$27*'Premissas &amp; Cenários'!$B$19,IF(A77='Premissas &amp; Cenários'!$B$18,$C$27*'Premissas &amp; Cenários'!$B$21,IF(AND(A77&gt;1,A77&lt;'Premissas &amp; Cenários'!$B$18),$C$27*'Premissas &amp; Cenários'!$B$20/'Premissas &amp; Cenários'!$B$17,0)))</f>
        <v/>
      </c>
      <c r="C77" s="33">
        <f>B77*$C$32</f>
        <v/>
      </c>
      <c r="D77" s="44">
        <f>IF('Matriz Normativa &amp; Governança'!$C$8="Alíquota plena — sensibilidade",C77*$C$17/(1+$C$17),IF(O77="","",C77*O77/(1+O77)))</f>
        <v/>
      </c>
      <c r="E77" s="44">
        <f>IF(AND(A77&gt;='Premissas &amp; Cenários'!$B$14,A77&lt;='Premissas &amp; Cenários'!$B$15),$C$20/'Premissas &amp; Cenários'!$B$17,0)</f>
        <v/>
      </c>
      <c r="F77" s="33">
        <f>E77*$C$22*Q77</f>
        <v/>
      </c>
      <c r="G77" s="44">
        <f>IFERROR('Premissas &amp; Cenários'!$B$22/'Premissas &amp; Cenários'!$B$18,0)</f>
        <v/>
      </c>
      <c r="H77" s="33">
        <f>G77*$C$23*Q77</f>
        <v/>
      </c>
      <c r="I77" s="33">
        <f>K76</f>
        <v/>
      </c>
      <c r="J77" s="33">
        <f>MAX(0,D77-F77-H77-I77)</f>
        <v/>
      </c>
      <c r="K77" s="33">
        <f>MAX(0,I77+F77+H77-D77)</f>
        <v/>
      </c>
      <c r="L77" s="33">
        <f>L76+J77</f>
        <v/>
      </c>
      <c r="M77" s="33">
        <f>SUM($D$43:D77)</f>
        <v/>
      </c>
      <c r="N77" s="44">
        <f>IF(A77&lt;=12,'Premissas &amp; Cenários'!$B$50,IF(A77&lt;=24,'Premissas &amp; Cenários'!$B$50+1,IF(A77&lt;=36,'Premissas &amp; Cenários'!$B$50+2,IF(A77&lt;=48,'Premissas &amp; Cenários'!$B$50+3,'Premissas &amp; Cenários'!$B$50+4))))</f>
        <v/>
      </c>
      <c r="O77" s="47">
        <f>IFERROR(INDEX('Transição Tributária'!$G$13:$G$20,MATCH(N77,'Transição Tributária'!$A$13:$A$20,0)),"")</f>
        <v/>
      </c>
      <c r="P77" s="48">
        <f>IF(O77="","PENDENTE",IFERROR(INDEX('Transição Tributária'!$I$13:$I$20,MATCH(N77,'Transição Tributária'!$A$13:$A$20,0)),"PENDENTE"))</f>
        <v/>
      </c>
      <c r="Q77" s="47">
        <f>IF('Matriz Normativa &amp; Governança'!$C$8="Alíquota plena — sensibilidade",1,IFERROR(INDEX('Transição Tributária'!$L$13:$L$20,MATCH(N77,'Transição Tributária'!$A$13:$A$20,0)),0))</f>
        <v/>
      </c>
      <c r="R77" s="33">
        <f>IF('Matriz Normativa &amp; Governança'!$C$8="Alíquota plena — sensibilidade",0,B77*IFERROR(INDEX('Transição Tributária'!$K$13:$K$20,MATCH(N77,'Transição Tributária'!$A$13:$A$20,0)),0))</f>
        <v/>
      </c>
      <c r="S77" s="44">
        <f>ROUNDUP(A77/3,0)</f>
        <v/>
      </c>
      <c r="T77" s="33">
        <f>IF('Matriz Normativa &amp; Governança'!$C$8="Alíquota plena — sensibilidade",B77*$C$17/(1+$C$17),IF(O77="",0,B77*O77/(1+O77)))</f>
        <v/>
      </c>
      <c r="U77" s="33">
        <f>E77*Q77</f>
        <v/>
      </c>
      <c r="V77" s="33">
        <f>G77*Q77</f>
        <v/>
      </c>
    </row>
    <row r="78" ht="30" customHeight="1">
      <c r="A78" s="31" t="n">
        <v>36</v>
      </c>
      <c r="B78" s="44">
        <f>IF(A78=1,$C$27*'Premissas &amp; Cenários'!$B$19,IF(A78='Premissas &amp; Cenários'!$B$18,$C$27*'Premissas &amp; Cenários'!$B$21,IF(AND(A78&gt;1,A78&lt;'Premissas &amp; Cenários'!$B$18),$C$27*'Premissas &amp; Cenários'!$B$20/'Premissas &amp; Cenários'!$B$17,0)))</f>
        <v/>
      </c>
      <c r="C78" s="33">
        <f>B78*$C$32</f>
        <v/>
      </c>
      <c r="D78" s="44">
        <f>IF('Matriz Normativa &amp; Governança'!$C$8="Alíquota plena — sensibilidade",C78*$C$17/(1+$C$17),IF(O78="","",C78*O78/(1+O78)))</f>
        <v/>
      </c>
      <c r="E78" s="44">
        <f>IF(AND(A78&gt;='Premissas &amp; Cenários'!$B$14,A78&lt;='Premissas &amp; Cenários'!$B$15),$C$20/'Premissas &amp; Cenários'!$B$17,0)</f>
        <v/>
      </c>
      <c r="F78" s="33">
        <f>E78*$C$22*Q78</f>
        <v/>
      </c>
      <c r="G78" s="44">
        <f>IFERROR('Premissas &amp; Cenários'!$B$22/'Premissas &amp; Cenários'!$B$18,0)</f>
        <v/>
      </c>
      <c r="H78" s="33">
        <f>G78*$C$23*Q78</f>
        <v/>
      </c>
      <c r="I78" s="33">
        <f>K77</f>
        <v/>
      </c>
      <c r="J78" s="33">
        <f>MAX(0,D78-F78-H78-I78)</f>
        <v/>
      </c>
      <c r="K78" s="33">
        <f>MAX(0,I78+F78+H78-D78)</f>
        <v/>
      </c>
      <c r="L78" s="33">
        <f>L77+J78</f>
        <v/>
      </c>
      <c r="M78" s="33">
        <f>SUM($D$43:D78)</f>
        <v/>
      </c>
      <c r="N78" s="44">
        <f>IF(A78&lt;=12,'Premissas &amp; Cenários'!$B$50,IF(A78&lt;=24,'Premissas &amp; Cenários'!$B$50+1,IF(A78&lt;=36,'Premissas &amp; Cenários'!$B$50+2,IF(A78&lt;=48,'Premissas &amp; Cenários'!$B$50+3,'Premissas &amp; Cenários'!$B$50+4))))</f>
        <v/>
      </c>
      <c r="O78" s="47">
        <f>IFERROR(INDEX('Transição Tributária'!$G$13:$G$20,MATCH(N78,'Transição Tributária'!$A$13:$A$20,0)),"")</f>
        <v/>
      </c>
      <c r="P78" s="48">
        <f>IF(O78="","PENDENTE",IFERROR(INDEX('Transição Tributária'!$I$13:$I$20,MATCH(N78,'Transição Tributária'!$A$13:$A$20,0)),"PENDENTE"))</f>
        <v/>
      </c>
      <c r="Q78" s="47">
        <f>IF('Matriz Normativa &amp; Governança'!$C$8="Alíquota plena — sensibilidade",1,IFERROR(INDEX('Transição Tributária'!$L$13:$L$20,MATCH(N78,'Transição Tributária'!$A$13:$A$20,0)),0))</f>
        <v/>
      </c>
      <c r="R78" s="33">
        <f>IF('Matriz Normativa &amp; Governança'!$C$8="Alíquota plena — sensibilidade",0,B78*IFERROR(INDEX('Transição Tributária'!$K$13:$K$20,MATCH(N78,'Transição Tributária'!$A$13:$A$20,0)),0))</f>
        <v/>
      </c>
      <c r="S78" s="44">
        <f>ROUNDUP(A78/3,0)</f>
        <v/>
      </c>
      <c r="T78" s="33">
        <f>IF('Matriz Normativa &amp; Governança'!$C$8="Alíquota plena — sensibilidade",B78*$C$17/(1+$C$17),IF(O78="",0,B78*O78/(1+O78)))</f>
        <v/>
      </c>
      <c r="U78" s="33">
        <f>E78*Q78</f>
        <v/>
      </c>
      <c r="V78" s="33">
        <f>G78*Q78</f>
        <v/>
      </c>
    </row>
    <row r="79" ht="30" customHeight="1">
      <c r="A79" s="31" t="n">
        <v>37</v>
      </c>
      <c r="B79" s="44">
        <f>IF(A79=1,$C$27*'Premissas &amp; Cenários'!$B$19,IF(A79='Premissas &amp; Cenários'!$B$18,$C$27*'Premissas &amp; Cenários'!$B$21,IF(AND(A79&gt;1,A79&lt;'Premissas &amp; Cenários'!$B$18),$C$27*'Premissas &amp; Cenários'!$B$20/'Premissas &amp; Cenários'!$B$17,0)))</f>
        <v/>
      </c>
      <c r="C79" s="33">
        <f>B79*$C$32</f>
        <v/>
      </c>
      <c r="D79" s="44">
        <f>IF('Matriz Normativa &amp; Governança'!$C$8="Alíquota plena — sensibilidade",C79*$C$17/(1+$C$17),IF(O79="","",C79*O79/(1+O79)))</f>
        <v/>
      </c>
      <c r="E79" s="44">
        <f>IF(AND(A79&gt;='Premissas &amp; Cenários'!$B$14,A79&lt;='Premissas &amp; Cenários'!$B$15),$C$20/'Premissas &amp; Cenários'!$B$17,0)</f>
        <v/>
      </c>
      <c r="F79" s="33">
        <f>E79*$C$22*Q79</f>
        <v/>
      </c>
      <c r="G79" s="44">
        <f>IFERROR('Premissas &amp; Cenários'!$B$22/'Premissas &amp; Cenários'!$B$18,0)</f>
        <v/>
      </c>
      <c r="H79" s="33">
        <f>G79*$C$23*Q79</f>
        <v/>
      </c>
      <c r="I79" s="33">
        <f>K78</f>
        <v/>
      </c>
      <c r="J79" s="33">
        <f>MAX(0,D79-F79-H79-I79)</f>
        <v/>
      </c>
      <c r="K79" s="33">
        <f>MAX(0,I79+F79+H79-D79)</f>
        <v/>
      </c>
      <c r="L79" s="33">
        <f>L78+J79</f>
        <v/>
      </c>
      <c r="M79" s="33">
        <f>SUM($D$43:D79)</f>
        <v/>
      </c>
      <c r="N79" s="44">
        <f>IF(A79&lt;=12,'Premissas &amp; Cenários'!$B$50,IF(A79&lt;=24,'Premissas &amp; Cenários'!$B$50+1,IF(A79&lt;=36,'Premissas &amp; Cenários'!$B$50+2,IF(A79&lt;=48,'Premissas &amp; Cenários'!$B$50+3,'Premissas &amp; Cenários'!$B$50+4))))</f>
        <v/>
      </c>
      <c r="O79" s="47">
        <f>IFERROR(INDEX('Transição Tributária'!$G$13:$G$20,MATCH(N79,'Transição Tributária'!$A$13:$A$20,0)),"")</f>
        <v/>
      </c>
      <c r="P79" s="48">
        <f>IF(O79="","PENDENTE",IFERROR(INDEX('Transição Tributária'!$I$13:$I$20,MATCH(N79,'Transição Tributária'!$A$13:$A$20,0)),"PENDENTE"))</f>
        <v/>
      </c>
      <c r="Q79" s="47">
        <f>IF('Matriz Normativa &amp; Governança'!$C$8="Alíquota plena — sensibilidade",1,IFERROR(INDEX('Transição Tributária'!$L$13:$L$20,MATCH(N79,'Transição Tributária'!$A$13:$A$20,0)),0))</f>
        <v/>
      </c>
      <c r="R79" s="33">
        <f>IF('Matriz Normativa &amp; Governança'!$C$8="Alíquota plena — sensibilidade",0,B79*IFERROR(INDEX('Transição Tributária'!$K$13:$K$20,MATCH(N79,'Transição Tributária'!$A$13:$A$20,0)),0))</f>
        <v/>
      </c>
      <c r="S79" s="44">
        <f>ROUNDUP(A79/3,0)</f>
        <v/>
      </c>
      <c r="T79" s="33">
        <f>IF('Matriz Normativa &amp; Governança'!$C$8="Alíquota plena — sensibilidade",B79*$C$17/(1+$C$17),IF(O79="",0,B79*O79/(1+O79)))</f>
        <v/>
      </c>
      <c r="U79" s="33">
        <f>E79*Q79</f>
        <v/>
      </c>
      <c r="V79" s="33">
        <f>G79*Q79</f>
        <v/>
      </c>
    </row>
    <row r="80" ht="30" customHeight="1">
      <c r="A80" s="31" t="n">
        <v>38</v>
      </c>
      <c r="B80" s="44">
        <f>IF(A80=1,$C$27*'Premissas &amp; Cenários'!$B$19,IF(A80='Premissas &amp; Cenários'!$B$18,$C$27*'Premissas &amp; Cenários'!$B$21,IF(AND(A80&gt;1,A80&lt;'Premissas &amp; Cenários'!$B$18),$C$27*'Premissas &amp; Cenários'!$B$20/'Premissas &amp; Cenários'!$B$17,0)))</f>
        <v/>
      </c>
      <c r="C80" s="33">
        <f>B80*$C$32</f>
        <v/>
      </c>
      <c r="D80" s="44">
        <f>IF('Matriz Normativa &amp; Governança'!$C$8="Alíquota plena — sensibilidade",C80*$C$17/(1+$C$17),IF(O80="","",C80*O80/(1+O80)))</f>
        <v/>
      </c>
      <c r="E80" s="44">
        <f>IF(AND(A80&gt;='Premissas &amp; Cenários'!$B$14,A80&lt;='Premissas &amp; Cenários'!$B$15),$C$20/'Premissas &amp; Cenários'!$B$17,0)</f>
        <v/>
      </c>
      <c r="F80" s="33">
        <f>E80*$C$22*Q80</f>
        <v/>
      </c>
      <c r="G80" s="44">
        <f>IFERROR('Premissas &amp; Cenários'!$B$22/'Premissas &amp; Cenários'!$B$18,0)</f>
        <v/>
      </c>
      <c r="H80" s="33">
        <f>G80*$C$23*Q80</f>
        <v/>
      </c>
      <c r="I80" s="33">
        <f>K79</f>
        <v/>
      </c>
      <c r="J80" s="33">
        <f>MAX(0,D80-F80-H80-I80)</f>
        <v/>
      </c>
      <c r="K80" s="33">
        <f>MAX(0,I80+F80+H80-D80)</f>
        <v/>
      </c>
      <c r="L80" s="33">
        <f>L79+J80</f>
        <v/>
      </c>
      <c r="M80" s="33">
        <f>SUM($D$43:D80)</f>
        <v/>
      </c>
      <c r="N80" s="44">
        <f>IF(A80&lt;=12,'Premissas &amp; Cenários'!$B$50,IF(A80&lt;=24,'Premissas &amp; Cenários'!$B$50+1,IF(A80&lt;=36,'Premissas &amp; Cenários'!$B$50+2,IF(A80&lt;=48,'Premissas &amp; Cenários'!$B$50+3,'Premissas &amp; Cenários'!$B$50+4))))</f>
        <v/>
      </c>
      <c r="O80" s="47">
        <f>IFERROR(INDEX('Transição Tributária'!$G$13:$G$20,MATCH(N80,'Transição Tributária'!$A$13:$A$20,0)),"")</f>
        <v/>
      </c>
      <c r="P80" s="48">
        <f>IF(O80="","PENDENTE",IFERROR(INDEX('Transição Tributária'!$I$13:$I$20,MATCH(N80,'Transição Tributária'!$A$13:$A$20,0)),"PENDENTE"))</f>
        <v/>
      </c>
      <c r="Q80" s="47">
        <f>IF('Matriz Normativa &amp; Governança'!$C$8="Alíquota plena — sensibilidade",1,IFERROR(INDEX('Transição Tributária'!$L$13:$L$20,MATCH(N80,'Transição Tributária'!$A$13:$A$20,0)),0))</f>
        <v/>
      </c>
      <c r="R80" s="33">
        <f>IF('Matriz Normativa &amp; Governança'!$C$8="Alíquota plena — sensibilidade",0,B80*IFERROR(INDEX('Transição Tributária'!$K$13:$K$20,MATCH(N80,'Transição Tributária'!$A$13:$A$20,0)),0))</f>
        <v/>
      </c>
      <c r="S80" s="44">
        <f>ROUNDUP(A80/3,0)</f>
        <v/>
      </c>
      <c r="T80" s="33">
        <f>IF('Matriz Normativa &amp; Governança'!$C$8="Alíquota plena — sensibilidade",B80*$C$17/(1+$C$17),IF(O80="",0,B80*O80/(1+O80)))</f>
        <v/>
      </c>
      <c r="U80" s="33">
        <f>E80*Q80</f>
        <v/>
      </c>
      <c r="V80" s="33">
        <f>G80*Q80</f>
        <v/>
      </c>
    </row>
    <row r="81" ht="30" customHeight="1">
      <c r="A81" s="31" t="n">
        <v>39</v>
      </c>
      <c r="B81" s="44">
        <f>IF(A81=1,$C$27*'Premissas &amp; Cenários'!$B$19,IF(A81='Premissas &amp; Cenários'!$B$18,$C$27*'Premissas &amp; Cenários'!$B$21,IF(AND(A81&gt;1,A81&lt;'Premissas &amp; Cenários'!$B$18),$C$27*'Premissas &amp; Cenários'!$B$20/'Premissas &amp; Cenários'!$B$17,0)))</f>
        <v/>
      </c>
      <c r="C81" s="33">
        <f>B81*$C$32</f>
        <v/>
      </c>
      <c r="D81" s="44">
        <f>IF('Matriz Normativa &amp; Governança'!$C$8="Alíquota plena — sensibilidade",C81*$C$17/(1+$C$17),IF(O81="","",C81*O81/(1+O81)))</f>
        <v/>
      </c>
      <c r="E81" s="44">
        <f>IF(AND(A81&gt;='Premissas &amp; Cenários'!$B$14,A81&lt;='Premissas &amp; Cenários'!$B$15),$C$20/'Premissas &amp; Cenários'!$B$17,0)</f>
        <v/>
      </c>
      <c r="F81" s="33">
        <f>E81*$C$22*Q81</f>
        <v/>
      </c>
      <c r="G81" s="44">
        <f>IFERROR('Premissas &amp; Cenários'!$B$22/'Premissas &amp; Cenários'!$B$18,0)</f>
        <v/>
      </c>
      <c r="H81" s="33">
        <f>G81*$C$23*Q81</f>
        <v/>
      </c>
      <c r="I81" s="33">
        <f>K80</f>
        <v/>
      </c>
      <c r="J81" s="33">
        <f>MAX(0,D81-F81-H81-I81)</f>
        <v/>
      </c>
      <c r="K81" s="33">
        <f>MAX(0,I81+F81+H81-D81)</f>
        <v/>
      </c>
      <c r="L81" s="33">
        <f>L80+J81</f>
        <v/>
      </c>
      <c r="M81" s="33">
        <f>SUM($D$43:D81)</f>
        <v/>
      </c>
      <c r="N81" s="44">
        <f>IF(A81&lt;=12,'Premissas &amp; Cenários'!$B$50,IF(A81&lt;=24,'Premissas &amp; Cenários'!$B$50+1,IF(A81&lt;=36,'Premissas &amp; Cenários'!$B$50+2,IF(A81&lt;=48,'Premissas &amp; Cenários'!$B$50+3,'Premissas &amp; Cenários'!$B$50+4))))</f>
        <v/>
      </c>
      <c r="O81" s="47">
        <f>IFERROR(INDEX('Transição Tributária'!$G$13:$G$20,MATCH(N81,'Transição Tributária'!$A$13:$A$20,0)),"")</f>
        <v/>
      </c>
      <c r="P81" s="48">
        <f>IF(O81="","PENDENTE",IFERROR(INDEX('Transição Tributária'!$I$13:$I$20,MATCH(N81,'Transição Tributária'!$A$13:$A$20,0)),"PENDENTE"))</f>
        <v/>
      </c>
      <c r="Q81" s="47">
        <f>IF('Matriz Normativa &amp; Governança'!$C$8="Alíquota plena — sensibilidade",1,IFERROR(INDEX('Transição Tributária'!$L$13:$L$20,MATCH(N81,'Transição Tributária'!$A$13:$A$20,0)),0))</f>
        <v/>
      </c>
      <c r="R81" s="33">
        <f>IF('Matriz Normativa &amp; Governança'!$C$8="Alíquota plena — sensibilidade",0,B81*IFERROR(INDEX('Transição Tributária'!$K$13:$K$20,MATCH(N81,'Transição Tributária'!$A$13:$A$20,0)),0))</f>
        <v/>
      </c>
      <c r="S81" s="44">
        <f>ROUNDUP(A81/3,0)</f>
        <v/>
      </c>
      <c r="T81" s="33">
        <f>IF('Matriz Normativa &amp; Governança'!$C$8="Alíquota plena — sensibilidade",B81*$C$17/(1+$C$17),IF(O81="",0,B81*O81/(1+O81)))</f>
        <v/>
      </c>
      <c r="U81" s="33">
        <f>E81*Q81</f>
        <v/>
      </c>
      <c r="V81" s="33">
        <f>G81*Q81</f>
        <v/>
      </c>
    </row>
    <row r="82" ht="30" customHeight="1">
      <c r="A82" s="31" t="n">
        <v>40</v>
      </c>
      <c r="B82" s="44">
        <f>IF(A82=1,$C$27*'Premissas &amp; Cenários'!$B$19,IF(A82='Premissas &amp; Cenários'!$B$18,$C$27*'Premissas &amp; Cenários'!$B$21,IF(AND(A82&gt;1,A82&lt;'Premissas &amp; Cenários'!$B$18),$C$27*'Premissas &amp; Cenários'!$B$20/'Premissas &amp; Cenários'!$B$17,0)))</f>
        <v/>
      </c>
      <c r="C82" s="33">
        <f>B82*$C$32</f>
        <v/>
      </c>
      <c r="D82" s="44">
        <f>IF('Matriz Normativa &amp; Governança'!$C$8="Alíquota plena — sensibilidade",C82*$C$17/(1+$C$17),IF(O82="","",C82*O82/(1+O82)))</f>
        <v/>
      </c>
      <c r="E82" s="44">
        <f>IF(AND(A82&gt;='Premissas &amp; Cenários'!$B$14,A82&lt;='Premissas &amp; Cenários'!$B$15),$C$20/'Premissas &amp; Cenários'!$B$17,0)</f>
        <v/>
      </c>
      <c r="F82" s="33">
        <f>E82*$C$22*Q82</f>
        <v/>
      </c>
      <c r="G82" s="44">
        <f>IFERROR('Premissas &amp; Cenários'!$B$22/'Premissas &amp; Cenários'!$B$18,0)</f>
        <v/>
      </c>
      <c r="H82" s="33">
        <f>G82*$C$23*Q82</f>
        <v/>
      </c>
      <c r="I82" s="33">
        <f>K81</f>
        <v/>
      </c>
      <c r="J82" s="33">
        <f>MAX(0,D82-F82-H82-I82)</f>
        <v/>
      </c>
      <c r="K82" s="33">
        <f>MAX(0,I82+F82+H82-D82)</f>
        <v/>
      </c>
      <c r="L82" s="33">
        <f>L81+J82</f>
        <v/>
      </c>
      <c r="M82" s="33">
        <f>SUM($D$43:D82)</f>
        <v/>
      </c>
      <c r="N82" s="44">
        <f>IF(A82&lt;=12,'Premissas &amp; Cenários'!$B$50,IF(A82&lt;=24,'Premissas &amp; Cenários'!$B$50+1,IF(A82&lt;=36,'Premissas &amp; Cenários'!$B$50+2,IF(A82&lt;=48,'Premissas &amp; Cenários'!$B$50+3,'Premissas &amp; Cenários'!$B$50+4))))</f>
        <v/>
      </c>
      <c r="O82" s="47">
        <f>IFERROR(INDEX('Transição Tributária'!$G$13:$G$20,MATCH(N82,'Transição Tributária'!$A$13:$A$20,0)),"")</f>
        <v/>
      </c>
      <c r="P82" s="48">
        <f>IF(O82="","PENDENTE",IFERROR(INDEX('Transição Tributária'!$I$13:$I$20,MATCH(N82,'Transição Tributária'!$A$13:$A$20,0)),"PENDENTE"))</f>
        <v/>
      </c>
      <c r="Q82" s="47">
        <f>IF('Matriz Normativa &amp; Governança'!$C$8="Alíquota plena — sensibilidade",1,IFERROR(INDEX('Transição Tributária'!$L$13:$L$20,MATCH(N82,'Transição Tributária'!$A$13:$A$20,0)),0))</f>
        <v/>
      </c>
      <c r="R82" s="33">
        <f>IF('Matriz Normativa &amp; Governança'!$C$8="Alíquota plena — sensibilidade",0,B82*IFERROR(INDEX('Transição Tributária'!$K$13:$K$20,MATCH(N82,'Transição Tributária'!$A$13:$A$20,0)),0))</f>
        <v/>
      </c>
      <c r="S82" s="44">
        <f>ROUNDUP(A82/3,0)</f>
        <v/>
      </c>
      <c r="T82" s="33">
        <f>IF('Matriz Normativa &amp; Governança'!$C$8="Alíquota plena — sensibilidade",B82*$C$17/(1+$C$17),IF(O82="",0,B82*O82/(1+O82)))</f>
        <v/>
      </c>
      <c r="U82" s="33">
        <f>E82*Q82</f>
        <v/>
      </c>
      <c r="V82" s="33">
        <f>G82*Q82</f>
        <v/>
      </c>
    </row>
    <row r="83" ht="30" customHeight="1">
      <c r="A83" s="31" t="n">
        <v>41</v>
      </c>
      <c r="B83" s="44">
        <f>IF(A83=1,$C$27*'Premissas &amp; Cenários'!$B$19,IF(A83='Premissas &amp; Cenários'!$B$18,$C$27*'Premissas &amp; Cenários'!$B$21,IF(AND(A83&gt;1,A83&lt;'Premissas &amp; Cenários'!$B$18),$C$27*'Premissas &amp; Cenários'!$B$20/'Premissas &amp; Cenários'!$B$17,0)))</f>
        <v/>
      </c>
      <c r="C83" s="33">
        <f>B83*$C$32</f>
        <v/>
      </c>
      <c r="D83" s="44">
        <f>IF('Matriz Normativa &amp; Governança'!$C$8="Alíquota plena — sensibilidade",C83*$C$17/(1+$C$17),IF(O83="","",C83*O83/(1+O83)))</f>
        <v/>
      </c>
      <c r="E83" s="44">
        <f>IF(AND(A83&gt;='Premissas &amp; Cenários'!$B$14,A83&lt;='Premissas &amp; Cenários'!$B$15),$C$20/'Premissas &amp; Cenários'!$B$17,0)</f>
        <v/>
      </c>
      <c r="F83" s="33">
        <f>E83*$C$22*Q83</f>
        <v/>
      </c>
      <c r="G83" s="44">
        <f>IFERROR('Premissas &amp; Cenários'!$B$22/'Premissas &amp; Cenários'!$B$18,0)</f>
        <v/>
      </c>
      <c r="H83" s="33">
        <f>G83*$C$23*Q83</f>
        <v/>
      </c>
      <c r="I83" s="33">
        <f>K82</f>
        <v/>
      </c>
      <c r="J83" s="33">
        <f>MAX(0,D83-F83-H83-I83)</f>
        <v/>
      </c>
      <c r="K83" s="33">
        <f>MAX(0,I83+F83+H83-D83)</f>
        <v/>
      </c>
      <c r="L83" s="33">
        <f>L82+J83</f>
        <v/>
      </c>
      <c r="M83" s="33">
        <f>SUM($D$43:D83)</f>
        <v/>
      </c>
      <c r="N83" s="44">
        <f>IF(A83&lt;=12,'Premissas &amp; Cenários'!$B$50,IF(A83&lt;=24,'Premissas &amp; Cenários'!$B$50+1,IF(A83&lt;=36,'Premissas &amp; Cenários'!$B$50+2,IF(A83&lt;=48,'Premissas &amp; Cenários'!$B$50+3,'Premissas &amp; Cenários'!$B$50+4))))</f>
        <v/>
      </c>
      <c r="O83" s="47">
        <f>IFERROR(INDEX('Transição Tributária'!$G$13:$G$20,MATCH(N83,'Transição Tributária'!$A$13:$A$20,0)),"")</f>
        <v/>
      </c>
      <c r="P83" s="48">
        <f>IF(O83="","PENDENTE",IFERROR(INDEX('Transição Tributária'!$I$13:$I$20,MATCH(N83,'Transição Tributária'!$A$13:$A$20,0)),"PENDENTE"))</f>
        <v/>
      </c>
      <c r="Q83" s="47">
        <f>IF('Matriz Normativa &amp; Governança'!$C$8="Alíquota plena — sensibilidade",1,IFERROR(INDEX('Transição Tributária'!$L$13:$L$20,MATCH(N83,'Transição Tributária'!$A$13:$A$20,0)),0))</f>
        <v/>
      </c>
      <c r="R83" s="33">
        <f>IF('Matriz Normativa &amp; Governança'!$C$8="Alíquota plena — sensibilidade",0,B83*IFERROR(INDEX('Transição Tributária'!$K$13:$K$20,MATCH(N83,'Transição Tributária'!$A$13:$A$20,0)),0))</f>
        <v/>
      </c>
      <c r="S83" s="44">
        <f>ROUNDUP(A83/3,0)</f>
        <v/>
      </c>
      <c r="T83" s="33">
        <f>IF('Matriz Normativa &amp; Governança'!$C$8="Alíquota plena — sensibilidade",B83*$C$17/(1+$C$17),IF(O83="",0,B83*O83/(1+O83)))</f>
        <v/>
      </c>
      <c r="U83" s="33">
        <f>E83*Q83</f>
        <v/>
      </c>
      <c r="V83" s="33">
        <f>G83*Q83</f>
        <v/>
      </c>
    </row>
    <row r="84" ht="30" customHeight="1">
      <c r="A84" s="31" t="n">
        <v>42</v>
      </c>
      <c r="B84" s="44">
        <f>IF(A84=1,$C$27*'Premissas &amp; Cenários'!$B$19,IF(A84='Premissas &amp; Cenários'!$B$18,$C$27*'Premissas &amp; Cenários'!$B$21,IF(AND(A84&gt;1,A84&lt;'Premissas &amp; Cenários'!$B$18),$C$27*'Premissas &amp; Cenários'!$B$20/'Premissas &amp; Cenários'!$B$17,0)))</f>
        <v/>
      </c>
      <c r="C84" s="33">
        <f>B84*$C$32</f>
        <v/>
      </c>
      <c r="D84" s="44">
        <f>IF('Matriz Normativa &amp; Governança'!$C$8="Alíquota plena — sensibilidade",C84*$C$17/(1+$C$17),IF(O84="","",C84*O84/(1+O84)))</f>
        <v/>
      </c>
      <c r="E84" s="44">
        <f>IF(AND(A84&gt;='Premissas &amp; Cenários'!$B$14,A84&lt;='Premissas &amp; Cenários'!$B$15),$C$20/'Premissas &amp; Cenários'!$B$17,0)</f>
        <v/>
      </c>
      <c r="F84" s="33">
        <f>E84*$C$22*Q84</f>
        <v/>
      </c>
      <c r="G84" s="44">
        <f>IFERROR('Premissas &amp; Cenários'!$B$22/'Premissas &amp; Cenários'!$B$18,0)</f>
        <v/>
      </c>
      <c r="H84" s="33">
        <f>G84*$C$23*Q84</f>
        <v/>
      </c>
      <c r="I84" s="33">
        <f>K83</f>
        <v/>
      </c>
      <c r="J84" s="33">
        <f>MAX(0,D84-F84-H84-I84)</f>
        <v/>
      </c>
      <c r="K84" s="33">
        <f>MAX(0,I84+F84+H84-D84)</f>
        <v/>
      </c>
      <c r="L84" s="33">
        <f>L83+J84</f>
        <v/>
      </c>
      <c r="M84" s="33">
        <f>SUM($D$43:D84)</f>
        <v/>
      </c>
      <c r="N84" s="44">
        <f>IF(A84&lt;=12,'Premissas &amp; Cenários'!$B$50,IF(A84&lt;=24,'Premissas &amp; Cenários'!$B$50+1,IF(A84&lt;=36,'Premissas &amp; Cenários'!$B$50+2,IF(A84&lt;=48,'Premissas &amp; Cenários'!$B$50+3,'Premissas &amp; Cenários'!$B$50+4))))</f>
        <v/>
      </c>
      <c r="O84" s="47">
        <f>IFERROR(INDEX('Transição Tributária'!$G$13:$G$20,MATCH(N84,'Transição Tributária'!$A$13:$A$20,0)),"")</f>
        <v/>
      </c>
      <c r="P84" s="48">
        <f>IF(O84="","PENDENTE",IFERROR(INDEX('Transição Tributária'!$I$13:$I$20,MATCH(N84,'Transição Tributária'!$A$13:$A$20,0)),"PENDENTE"))</f>
        <v/>
      </c>
      <c r="Q84" s="47">
        <f>IF('Matriz Normativa &amp; Governança'!$C$8="Alíquota plena — sensibilidade",1,IFERROR(INDEX('Transição Tributária'!$L$13:$L$20,MATCH(N84,'Transição Tributária'!$A$13:$A$20,0)),0))</f>
        <v/>
      </c>
      <c r="R84" s="33">
        <f>IF('Matriz Normativa &amp; Governança'!$C$8="Alíquota plena — sensibilidade",0,B84*IFERROR(INDEX('Transição Tributária'!$K$13:$K$20,MATCH(N84,'Transição Tributária'!$A$13:$A$20,0)),0))</f>
        <v/>
      </c>
      <c r="S84" s="44">
        <f>ROUNDUP(A84/3,0)</f>
        <v/>
      </c>
      <c r="T84" s="33">
        <f>IF('Matriz Normativa &amp; Governança'!$C$8="Alíquota plena — sensibilidade",B84*$C$17/(1+$C$17),IF(O84="",0,B84*O84/(1+O84)))</f>
        <v/>
      </c>
      <c r="U84" s="33">
        <f>E84*Q84</f>
        <v/>
      </c>
      <c r="V84" s="33">
        <f>G84*Q84</f>
        <v/>
      </c>
    </row>
    <row r="85" ht="30" customHeight="1">
      <c r="A85" s="31" t="n">
        <v>43</v>
      </c>
      <c r="B85" s="44">
        <f>IF(A85=1,$C$27*'Premissas &amp; Cenários'!$B$19,IF(A85='Premissas &amp; Cenários'!$B$18,$C$27*'Premissas &amp; Cenários'!$B$21,IF(AND(A85&gt;1,A85&lt;'Premissas &amp; Cenários'!$B$18),$C$27*'Premissas &amp; Cenários'!$B$20/'Premissas &amp; Cenários'!$B$17,0)))</f>
        <v/>
      </c>
      <c r="C85" s="33">
        <f>B85*$C$32</f>
        <v/>
      </c>
      <c r="D85" s="44">
        <f>IF('Matriz Normativa &amp; Governança'!$C$8="Alíquota plena — sensibilidade",C85*$C$17/(1+$C$17),IF(O85="","",C85*O85/(1+O85)))</f>
        <v/>
      </c>
      <c r="E85" s="44">
        <f>IF(AND(A85&gt;='Premissas &amp; Cenários'!$B$14,A85&lt;='Premissas &amp; Cenários'!$B$15),$C$20/'Premissas &amp; Cenários'!$B$17,0)</f>
        <v/>
      </c>
      <c r="F85" s="33">
        <f>E85*$C$22*Q85</f>
        <v/>
      </c>
      <c r="G85" s="44">
        <f>IFERROR('Premissas &amp; Cenários'!$B$22/'Premissas &amp; Cenários'!$B$18,0)</f>
        <v/>
      </c>
      <c r="H85" s="33">
        <f>G85*$C$23*Q85</f>
        <v/>
      </c>
      <c r="I85" s="33">
        <f>K84</f>
        <v/>
      </c>
      <c r="J85" s="33">
        <f>MAX(0,D85-F85-H85-I85)</f>
        <v/>
      </c>
      <c r="K85" s="33">
        <f>MAX(0,I85+F85+H85-D85)</f>
        <v/>
      </c>
      <c r="L85" s="33">
        <f>L84+J85</f>
        <v/>
      </c>
      <c r="M85" s="33">
        <f>SUM($D$43:D85)</f>
        <v/>
      </c>
      <c r="N85" s="44">
        <f>IF(A85&lt;=12,'Premissas &amp; Cenários'!$B$50,IF(A85&lt;=24,'Premissas &amp; Cenários'!$B$50+1,IF(A85&lt;=36,'Premissas &amp; Cenários'!$B$50+2,IF(A85&lt;=48,'Premissas &amp; Cenários'!$B$50+3,'Premissas &amp; Cenários'!$B$50+4))))</f>
        <v/>
      </c>
      <c r="O85" s="47">
        <f>IFERROR(INDEX('Transição Tributária'!$G$13:$G$20,MATCH(N85,'Transição Tributária'!$A$13:$A$20,0)),"")</f>
        <v/>
      </c>
      <c r="P85" s="48">
        <f>IF(O85="","PENDENTE",IFERROR(INDEX('Transição Tributária'!$I$13:$I$20,MATCH(N85,'Transição Tributária'!$A$13:$A$20,0)),"PENDENTE"))</f>
        <v/>
      </c>
      <c r="Q85" s="47">
        <f>IF('Matriz Normativa &amp; Governança'!$C$8="Alíquota plena — sensibilidade",1,IFERROR(INDEX('Transição Tributária'!$L$13:$L$20,MATCH(N85,'Transição Tributária'!$A$13:$A$20,0)),0))</f>
        <v/>
      </c>
      <c r="R85" s="33">
        <f>IF('Matriz Normativa &amp; Governança'!$C$8="Alíquota plena — sensibilidade",0,B85*IFERROR(INDEX('Transição Tributária'!$K$13:$K$20,MATCH(N85,'Transição Tributária'!$A$13:$A$20,0)),0))</f>
        <v/>
      </c>
      <c r="S85" s="44">
        <f>ROUNDUP(A85/3,0)</f>
        <v/>
      </c>
      <c r="T85" s="33">
        <f>IF('Matriz Normativa &amp; Governança'!$C$8="Alíquota plena — sensibilidade",B85*$C$17/(1+$C$17),IF(O85="",0,B85*O85/(1+O85)))</f>
        <v/>
      </c>
      <c r="U85" s="33">
        <f>E85*Q85</f>
        <v/>
      </c>
      <c r="V85" s="33">
        <f>G85*Q85</f>
        <v/>
      </c>
    </row>
    <row r="86" ht="30" customHeight="1">
      <c r="A86" s="31" t="n">
        <v>44</v>
      </c>
      <c r="B86" s="44">
        <f>IF(A86=1,$C$27*'Premissas &amp; Cenários'!$B$19,IF(A86='Premissas &amp; Cenários'!$B$18,$C$27*'Premissas &amp; Cenários'!$B$21,IF(AND(A86&gt;1,A86&lt;'Premissas &amp; Cenários'!$B$18),$C$27*'Premissas &amp; Cenários'!$B$20/'Premissas &amp; Cenários'!$B$17,0)))</f>
        <v/>
      </c>
      <c r="C86" s="33">
        <f>B86*$C$32</f>
        <v/>
      </c>
      <c r="D86" s="44">
        <f>IF('Matriz Normativa &amp; Governança'!$C$8="Alíquota plena — sensibilidade",C86*$C$17/(1+$C$17),IF(O86="","",C86*O86/(1+O86)))</f>
        <v/>
      </c>
      <c r="E86" s="44">
        <f>IF(AND(A86&gt;='Premissas &amp; Cenários'!$B$14,A86&lt;='Premissas &amp; Cenários'!$B$15),$C$20/'Premissas &amp; Cenários'!$B$17,0)</f>
        <v/>
      </c>
      <c r="F86" s="33">
        <f>E86*$C$22*Q86</f>
        <v/>
      </c>
      <c r="G86" s="44">
        <f>IFERROR('Premissas &amp; Cenários'!$B$22/'Premissas &amp; Cenários'!$B$18,0)</f>
        <v/>
      </c>
      <c r="H86" s="33">
        <f>G86*$C$23*Q86</f>
        <v/>
      </c>
      <c r="I86" s="33">
        <f>K85</f>
        <v/>
      </c>
      <c r="J86" s="33">
        <f>MAX(0,D86-F86-H86-I86)</f>
        <v/>
      </c>
      <c r="K86" s="33">
        <f>MAX(0,I86+F86+H86-D86)</f>
        <v/>
      </c>
      <c r="L86" s="33">
        <f>L85+J86</f>
        <v/>
      </c>
      <c r="M86" s="33">
        <f>SUM($D$43:D86)</f>
        <v/>
      </c>
      <c r="N86" s="44">
        <f>IF(A86&lt;=12,'Premissas &amp; Cenários'!$B$50,IF(A86&lt;=24,'Premissas &amp; Cenários'!$B$50+1,IF(A86&lt;=36,'Premissas &amp; Cenários'!$B$50+2,IF(A86&lt;=48,'Premissas &amp; Cenários'!$B$50+3,'Premissas &amp; Cenários'!$B$50+4))))</f>
        <v/>
      </c>
      <c r="O86" s="47">
        <f>IFERROR(INDEX('Transição Tributária'!$G$13:$G$20,MATCH(N86,'Transição Tributária'!$A$13:$A$20,0)),"")</f>
        <v/>
      </c>
      <c r="P86" s="48">
        <f>IF(O86="","PENDENTE",IFERROR(INDEX('Transição Tributária'!$I$13:$I$20,MATCH(N86,'Transição Tributária'!$A$13:$A$20,0)),"PENDENTE"))</f>
        <v/>
      </c>
      <c r="Q86" s="47">
        <f>IF('Matriz Normativa &amp; Governança'!$C$8="Alíquota plena — sensibilidade",1,IFERROR(INDEX('Transição Tributária'!$L$13:$L$20,MATCH(N86,'Transição Tributária'!$A$13:$A$20,0)),0))</f>
        <v/>
      </c>
      <c r="R86" s="33">
        <f>IF('Matriz Normativa &amp; Governança'!$C$8="Alíquota plena — sensibilidade",0,B86*IFERROR(INDEX('Transição Tributária'!$K$13:$K$20,MATCH(N86,'Transição Tributária'!$A$13:$A$20,0)),0))</f>
        <v/>
      </c>
      <c r="S86" s="44">
        <f>ROUNDUP(A86/3,0)</f>
        <v/>
      </c>
      <c r="T86" s="33">
        <f>IF('Matriz Normativa &amp; Governança'!$C$8="Alíquota plena — sensibilidade",B86*$C$17/(1+$C$17),IF(O86="",0,B86*O86/(1+O86)))</f>
        <v/>
      </c>
      <c r="U86" s="33">
        <f>E86*Q86</f>
        <v/>
      </c>
      <c r="V86" s="33">
        <f>G86*Q86</f>
        <v/>
      </c>
    </row>
    <row r="87" ht="30" customHeight="1">
      <c r="A87" s="31" t="n">
        <v>45</v>
      </c>
      <c r="B87" s="44">
        <f>IF(A87=1,$C$27*'Premissas &amp; Cenários'!$B$19,IF(A87='Premissas &amp; Cenários'!$B$18,$C$27*'Premissas &amp; Cenários'!$B$21,IF(AND(A87&gt;1,A87&lt;'Premissas &amp; Cenários'!$B$18),$C$27*'Premissas &amp; Cenários'!$B$20/'Premissas &amp; Cenários'!$B$17,0)))</f>
        <v/>
      </c>
      <c r="C87" s="33">
        <f>B87*$C$32</f>
        <v/>
      </c>
      <c r="D87" s="44">
        <f>IF('Matriz Normativa &amp; Governança'!$C$8="Alíquota plena — sensibilidade",C87*$C$17/(1+$C$17),IF(O87="","",C87*O87/(1+O87)))</f>
        <v/>
      </c>
      <c r="E87" s="44">
        <f>IF(AND(A87&gt;='Premissas &amp; Cenários'!$B$14,A87&lt;='Premissas &amp; Cenários'!$B$15),$C$20/'Premissas &amp; Cenários'!$B$17,0)</f>
        <v/>
      </c>
      <c r="F87" s="33">
        <f>E87*$C$22*Q87</f>
        <v/>
      </c>
      <c r="G87" s="44">
        <f>IFERROR('Premissas &amp; Cenários'!$B$22/'Premissas &amp; Cenários'!$B$18,0)</f>
        <v/>
      </c>
      <c r="H87" s="33">
        <f>G87*$C$23*Q87</f>
        <v/>
      </c>
      <c r="I87" s="33">
        <f>K86</f>
        <v/>
      </c>
      <c r="J87" s="33">
        <f>MAX(0,D87-F87-H87-I87)</f>
        <v/>
      </c>
      <c r="K87" s="33">
        <f>MAX(0,I87+F87+H87-D87)</f>
        <v/>
      </c>
      <c r="L87" s="33">
        <f>L86+J87</f>
        <v/>
      </c>
      <c r="M87" s="33">
        <f>SUM($D$43:D87)</f>
        <v/>
      </c>
      <c r="N87" s="44">
        <f>IF(A87&lt;=12,'Premissas &amp; Cenários'!$B$50,IF(A87&lt;=24,'Premissas &amp; Cenários'!$B$50+1,IF(A87&lt;=36,'Premissas &amp; Cenários'!$B$50+2,IF(A87&lt;=48,'Premissas &amp; Cenários'!$B$50+3,'Premissas &amp; Cenários'!$B$50+4))))</f>
        <v/>
      </c>
      <c r="O87" s="47">
        <f>IFERROR(INDEX('Transição Tributária'!$G$13:$G$20,MATCH(N87,'Transição Tributária'!$A$13:$A$20,0)),"")</f>
        <v/>
      </c>
      <c r="P87" s="48">
        <f>IF(O87="","PENDENTE",IFERROR(INDEX('Transição Tributária'!$I$13:$I$20,MATCH(N87,'Transição Tributária'!$A$13:$A$20,0)),"PENDENTE"))</f>
        <v/>
      </c>
      <c r="Q87" s="47">
        <f>IF('Matriz Normativa &amp; Governança'!$C$8="Alíquota plena — sensibilidade",1,IFERROR(INDEX('Transição Tributária'!$L$13:$L$20,MATCH(N87,'Transição Tributária'!$A$13:$A$20,0)),0))</f>
        <v/>
      </c>
      <c r="R87" s="33">
        <f>IF('Matriz Normativa &amp; Governança'!$C$8="Alíquota plena — sensibilidade",0,B87*IFERROR(INDEX('Transição Tributária'!$K$13:$K$20,MATCH(N87,'Transição Tributária'!$A$13:$A$20,0)),0))</f>
        <v/>
      </c>
      <c r="S87" s="44">
        <f>ROUNDUP(A87/3,0)</f>
        <v/>
      </c>
      <c r="T87" s="33">
        <f>IF('Matriz Normativa &amp; Governança'!$C$8="Alíquota plena — sensibilidade",B87*$C$17/(1+$C$17),IF(O87="",0,B87*O87/(1+O87)))</f>
        <v/>
      </c>
      <c r="U87" s="33">
        <f>E87*Q87</f>
        <v/>
      </c>
      <c r="V87" s="33">
        <f>G87*Q87</f>
        <v/>
      </c>
    </row>
    <row r="88" ht="30" customHeight="1">
      <c r="A88" s="31" t="n">
        <v>46</v>
      </c>
      <c r="B88" s="44">
        <f>IF(A88=1,$C$27*'Premissas &amp; Cenários'!$B$19,IF(A88='Premissas &amp; Cenários'!$B$18,$C$27*'Premissas &amp; Cenários'!$B$21,IF(AND(A88&gt;1,A88&lt;'Premissas &amp; Cenários'!$B$18),$C$27*'Premissas &amp; Cenários'!$B$20/'Premissas &amp; Cenários'!$B$17,0)))</f>
        <v/>
      </c>
      <c r="C88" s="33">
        <f>B88*$C$32</f>
        <v/>
      </c>
      <c r="D88" s="44">
        <f>IF('Matriz Normativa &amp; Governança'!$C$8="Alíquota plena — sensibilidade",C88*$C$17/(1+$C$17),IF(O88="","",C88*O88/(1+O88)))</f>
        <v/>
      </c>
      <c r="E88" s="44">
        <f>IF(AND(A88&gt;='Premissas &amp; Cenários'!$B$14,A88&lt;='Premissas &amp; Cenários'!$B$15),$C$20/'Premissas &amp; Cenários'!$B$17,0)</f>
        <v/>
      </c>
      <c r="F88" s="33">
        <f>E88*$C$22*Q88</f>
        <v/>
      </c>
      <c r="G88" s="44">
        <f>IFERROR('Premissas &amp; Cenários'!$B$22/'Premissas &amp; Cenários'!$B$18,0)</f>
        <v/>
      </c>
      <c r="H88" s="33">
        <f>G88*$C$23*Q88</f>
        <v/>
      </c>
      <c r="I88" s="33">
        <f>K87</f>
        <v/>
      </c>
      <c r="J88" s="33">
        <f>MAX(0,D88-F88-H88-I88)</f>
        <v/>
      </c>
      <c r="K88" s="33">
        <f>MAX(0,I88+F88+H88-D88)</f>
        <v/>
      </c>
      <c r="L88" s="33">
        <f>L87+J88</f>
        <v/>
      </c>
      <c r="M88" s="33">
        <f>SUM($D$43:D88)</f>
        <v/>
      </c>
      <c r="N88" s="44">
        <f>IF(A88&lt;=12,'Premissas &amp; Cenários'!$B$50,IF(A88&lt;=24,'Premissas &amp; Cenários'!$B$50+1,IF(A88&lt;=36,'Premissas &amp; Cenários'!$B$50+2,IF(A88&lt;=48,'Premissas &amp; Cenários'!$B$50+3,'Premissas &amp; Cenários'!$B$50+4))))</f>
        <v/>
      </c>
      <c r="O88" s="47">
        <f>IFERROR(INDEX('Transição Tributária'!$G$13:$G$20,MATCH(N88,'Transição Tributária'!$A$13:$A$20,0)),"")</f>
        <v/>
      </c>
      <c r="P88" s="48">
        <f>IF(O88="","PENDENTE",IFERROR(INDEX('Transição Tributária'!$I$13:$I$20,MATCH(N88,'Transição Tributária'!$A$13:$A$20,0)),"PENDENTE"))</f>
        <v/>
      </c>
      <c r="Q88" s="47">
        <f>IF('Matriz Normativa &amp; Governança'!$C$8="Alíquota plena — sensibilidade",1,IFERROR(INDEX('Transição Tributária'!$L$13:$L$20,MATCH(N88,'Transição Tributária'!$A$13:$A$20,0)),0))</f>
        <v/>
      </c>
      <c r="R88" s="33">
        <f>IF('Matriz Normativa &amp; Governança'!$C$8="Alíquota plena — sensibilidade",0,B88*IFERROR(INDEX('Transição Tributária'!$K$13:$K$20,MATCH(N88,'Transição Tributária'!$A$13:$A$20,0)),0))</f>
        <v/>
      </c>
      <c r="S88" s="44">
        <f>ROUNDUP(A88/3,0)</f>
        <v/>
      </c>
      <c r="T88" s="33">
        <f>IF('Matriz Normativa &amp; Governança'!$C$8="Alíquota plena — sensibilidade",B88*$C$17/(1+$C$17),IF(O88="",0,B88*O88/(1+O88)))</f>
        <v/>
      </c>
      <c r="U88" s="33">
        <f>E88*Q88</f>
        <v/>
      </c>
      <c r="V88" s="33">
        <f>G88*Q88</f>
        <v/>
      </c>
    </row>
    <row r="89" ht="30" customHeight="1">
      <c r="A89" s="31" t="n">
        <v>47</v>
      </c>
      <c r="B89" s="44">
        <f>IF(A89=1,$C$27*'Premissas &amp; Cenários'!$B$19,IF(A89='Premissas &amp; Cenários'!$B$18,$C$27*'Premissas &amp; Cenários'!$B$21,IF(AND(A89&gt;1,A89&lt;'Premissas &amp; Cenários'!$B$18),$C$27*'Premissas &amp; Cenários'!$B$20/'Premissas &amp; Cenários'!$B$17,0)))</f>
        <v/>
      </c>
      <c r="C89" s="33">
        <f>B89*$C$32</f>
        <v/>
      </c>
      <c r="D89" s="44">
        <f>IF('Matriz Normativa &amp; Governança'!$C$8="Alíquota plena — sensibilidade",C89*$C$17/(1+$C$17),IF(O89="","",C89*O89/(1+O89)))</f>
        <v/>
      </c>
      <c r="E89" s="44">
        <f>IF(AND(A89&gt;='Premissas &amp; Cenários'!$B$14,A89&lt;='Premissas &amp; Cenários'!$B$15),$C$20/'Premissas &amp; Cenários'!$B$17,0)</f>
        <v/>
      </c>
      <c r="F89" s="33">
        <f>E89*$C$22*Q89</f>
        <v/>
      </c>
      <c r="G89" s="44">
        <f>IFERROR('Premissas &amp; Cenários'!$B$22/'Premissas &amp; Cenários'!$B$18,0)</f>
        <v/>
      </c>
      <c r="H89" s="33">
        <f>G89*$C$23*Q89</f>
        <v/>
      </c>
      <c r="I89" s="33">
        <f>K88</f>
        <v/>
      </c>
      <c r="J89" s="33">
        <f>MAX(0,D89-F89-H89-I89)</f>
        <v/>
      </c>
      <c r="K89" s="33">
        <f>MAX(0,I89+F89+H89-D89)</f>
        <v/>
      </c>
      <c r="L89" s="33">
        <f>L88+J89</f>
        <v/>
      </c>
      <c r="M89" s="33">
        <f>SUM($D$43:D89)</f>
        <v/>
      </c>
      <c r="N89" s="44">
        <f>IF(A89&lt;=12,'Premissas &amp; Cenários'!$B$50,IF(A89&lt;=24,'Premissas &amp; Cenários'!$B$50+1,IF(A89&lt;=36,'Premissas &amp; Cenários'!$B$50+2,IF(A89&lt;=48,'Premissas &amp; Cenários'!$B$50+3,'Premissas &amp; Cenários'!$B$50+4))))</f>
        <v/>
      </c>
      <c r="O89" s="47">
        <f>IFERROR(INDEX('Transição Tributária'!$G$13:$G$20,MATCH(N89,'Transição Tributária'!$A$13:$A$20,0)),"")</f>
        <v/>
      </c>
      <c r="P89" s="48">
        <f>IF(O89="","PENDENTE",IFERROR(INDEX('Transição Tributária'!$I$13:$I$20,MATCH(N89,'Transição Tributária'!$A$13:$A$20,0)),"PENDENTE"))</f>
        <v/>
      </c>
      <c r="Q89" s="47">
        <f>IF('Matriz Normativa &amp; Governança'!$C$8="Alíquota plena — sensibilidade",1,IFERROR(INDEX('Transição Tributária'!$L$13:$L$20,MATCH(N89,'Transição Tributária'!$A$13:$A$20,0)),0))</f>
        <v/>
      </c>
      <c r="R89" s="33">
        <f>IF('Matriz Normativa &amp; Governança'!$C$8="Alíquota plena — sensibilidade",0,B89*IFERROR(INDEX('Transição Tributária'!$K$13:$K$20,MATCH(N89,'Transição Tributária'!$A$13:$A$20,0)),0))</f>
        <v/>
      </c>
      <c r="S89" s="44">
        <f>ROUNDUP(A89/3,0)</f>
        <v/>
      </c>
      <c r="T89" s="33">
        <f>IF('Matriz Normativa &amp; Governança'!$C$8="Alíquota plena — sensibilidade",B89*$C$17/(1+$C$17),IF(O89="",0,B89*O89/(1+O89)))</f>
        <v/>
      </c>
      <c r="U89" s="33">
        <f>E89*Q89</f>
        <v/>
      </c>
      <c r="V89" s="33">
        <f>G89*Q89</f>
        <v/>
      </c>
    </row>
    <row r="90" ht="30" customHeight="1">
      <c r="A90" s="31" t="n">
        <v>48</v>
      </c>
      <c r="B90" s="44">
        <f>IF(A90=1,$C$27*'Premissas &amp; Cenários'!$B$19,IF(A90='Premissas &amp; Cenários'!$B$18,$C$27*'Premissas &amp; Cenários'!$B$21,IF(AND(A90&gt;1,A90&lt;'Premissas &amp; Cenários'!$B$18),$C$27*'Premissas &amp; Cenários'!$B$20/'Premissas &amp; Cenários'!$B$17,0)))</f>
        <v/>
      </c>
      <c r="C90" s="33">
        <f>B90*$C$32</f>
        <v/>
      </c>
      <c r="D90" s="44">
        <f>IF('Matriz Normativa &amp; Governança'!$C$8="Alíquota plena — sensibilidade",C90*$C$17/(1+$C$17),IF(O90="","",C90*O90/(1+O90)))</f>
        <v/>
      </c>
      <c r="E90" s="44">
        <f>IF(AND(A90&gt;='Premissas &amp; Cenários'!$B$14,A90&lt;='Premissas &amp; Cenários'!$B$15),$C$20/'Premissas &amp; Cenários'!$B$17,0)</f>
        <v/>
      </c>
      <c r="F90" s="33">
        <f>E90*$C$22*Q90</f>
        <v/>
      </c>
      <c r="G90" s="44">
        <f>IFERROR('Premissas &amp; Cenários'!$B$22/'Premissas &amp; Cenários'!$B$18,0)</f>
        <v/>
      </c>
      <c r="H90" s="33">
        <f>G90*$C$23*Q90</f>
        <v/>
      </c>
      <c r="I90" s="33">
        <f>K89</f>
        <v/>
      </c>
      <c r="J90" s="33">
        <f>MAX(0,D90-F90-H90-I90)</f>
        <v/>
      </c>
      <c r="K90" s="33">
        <f>MAX(0,I90+F90+H90-D90)</f>
        <v/>
      </c>
      <c r="L90" s="33">
        <f>L89+J90</f>
        <v/>
      </c>
      <c r="M90" s="33">
        <f>SUM($D$43:D90)</f>
        <v/>
      </c>
      <c r="N90" s="44">
        <f>IF(A90&lt;=12,'Premissas &amp; Cenários'!$B$50,IF(A90&lt;=24,'Premissas &amp; Cenários'!$B$50+1,IF(A90&lt;=36,'Premissas &amp; Cenários'!$B$50+2,IF(A90&lt;=48,'Premissas &amp; Cenários'!$B$50+3,'Premissas &amp; Cenários'!$B$50+4))))</f>
        <v/>
      </c>
      <c r="O90" s="47">
        <f>IFERROR(INDEX('Transição Tributária'!$G$13:$G$20,MATCH(N90,'Transição Tributária'!$A$13:$A$20,0)),"")</f>
        <v/>
      </c>
      <c r="P90" s="48">
        <f>IF(O90="","PENDENTE",IFERROR(INDEX('Transição Tributária'!$I$13:$I$20,MATCH(N90,'Transição Tributária'!$A$13:$A$20,0)),"PENDENTE"))</f>
        <v/>
      </c>
      <c r="Q90" s="47">
        <f>IF('Matriz Normativa &amp; Governança'!$C$8="Alíquota plena — sensibilidade",1,IFERROR(INDEX('Transição Tributária'!$L$13:$L$20,MATCH(N90,'Transição Tributária'!$A$13:$A$20,0)),0))</f>
        <v/>
      </c>
      <c r="R90" s="33">
        <f>IF('Matriz Normativa &amp; Governança'!$C$8="Alíquota plena — sensibilidade",0,B90*IFERROR(INDEX('Transição Tributária'!$K$13:$K$20,MATCH(N90,'Transição Tributária'!$A$13:$A$20,0)),0))</f>
        <v/>
      </c>
      <c r="S90" s="44">
        <f>ROUNDUP(A90/3,0)</f>
        <v/>
      </c>
      <c r="T90" s="33">
        <f>IF('Matriz Normativa &amp; Governança'!$C$8="Alíquota plena — sensibilidade",B90*$C$17/(1+$C$17),IF(O90="",0,B90*O90/(1+O90)))</f>
        <v/>
      </c>
      <c r="U90" s="33">
        <f>E90*Q90</f>
        <v/>
      </c>
      <c r="V90" s="33">
        <f>G90*Q90</f>
        <v/>
      </c>
    </row>
    <row r="91" ht="30" customHeight="1">
      <c r="A91" s="31" t="n">
        <v>49</v>
      </c>
      <c r="B91" s="44">
        <f>IF(A91=1,$C$27*'Premissas &amp; Cenários'!$B$19,IF(A91='Premissas &amp; Cenários'!$B$18,$C$27*'Premissas &amp; Cenários'!$B$21,IF(AND(A91&gt;1,A91&lt;'Premissas &amp; Cenários'!$B$18),$C$27*'Premissas &amp; Cenários'!$B$20/'Premissas &amp; Cenários'!$B$17,0)))</f>
        <v/>
      </c>
      <c r="C91" s="33">
        <f>B91*$C$32</f>
        <v/>
      </c>
      <c r="D91" s="44">
        <f>IF('Matriz Normativa &amp; Governança'!$C$8="Alíquota plena — sensibilidade",C91*$C$17/(1+$C$17),IF(O91="","",C91*O91/(1+O91)))</f>
        <v/>
      </c>
      <c r="E91" s="44">
        <f>IF(AND(A91&gt;='Premissas &amp; Cenários'!$B$14,A91&lt;='Premissas &amp; Cenários'!$B$15),$C$20/'Premissas &amp; Cenários'!$B$17,0)</f>
        <v/>
      </c>
      <c r="F91" s="33">
        <f>E91*$C$22*Q91</f>
        <v/>
      </c>
      <c r="G91" s="44">
        <f>IFERROR('Premissas &amp; Cenários'!$B$22/'Premissas &amp; Cenários'!$B$18,0)</f>
        <v/>
      </c>
      <c r="H91" s="33">
        <f>G91*$C$23*Q91</f>
        <v/>
      </c>
      <c r="I91" s="33">
        <f>K90</f>
        <v/>
      </c>
      <c r="J91" s="33">
        <f>MAX(0,D91-F91-H91-I91)</f>
        <v/>
      </c>
      <c r="K91" s="33">
        <f>MAX(0,I91+F91+H91-D91)</f>
        <v/>
      </c>
      <c r="L91" s="33">
        <f>L90+J91</f>
        <v/>
      </c>
      <c r="M91" s="33">
        <f>SUM($D$43:D91)</f>
        <v/>
      </c>
      <c r="N91" s="44">
        <f>IF(A91&lt;=12,'Premissas &amp; Cenários'!$B$50,IF(A91&lt;=24,'Premissas &amp; Cenários'!$B$50+1,IF(A91&lt;=36,'Premissas &amp; Cenários'!$B$50+2,IF(A91&lt;=48,'Premissas &amp; Cenários'!$B$50+3,'Premissas &amp; Cenários'!$B$50+4))))</f>
        <v/>
      </c>
      <c r="O91" s="47">
        <f>IFERROR(INDEX('Transição Tributária'!$G$13:$G$20,MATCH(N91,'Transição Tributária'!$A$13:$A$20,0)),"")</f>
        <v/>
      </c>
      <c r="P91" s="48">
        <f>IF(O91="","PENDENTE",IFERROR(INDEX('Transição Tributária'!$I$13:$I$20,MATCH(N91,'Transição Tributária'!$A$13:$A$20,0)),"PENDENTE"))</f>
        <v/>
      </c>
      <c r="Q91" s="47">
        <f>IF('Matriz Normativa &amp; Governança'!$C$8="Alíquota plena — sensibilidade",1,IFERROR(INDEX('Transição Tributária'!$L$13:$L$20,MATCH(N91,'Transição Tributária'!$A$13:$A$20,0)),0))</f>
        <v/>
      </c>
      <c r="R91" s="33">
        <f>IF('Matriz Normativa &amp; Governança'!$C$8="Alíquota plena — sensibilidade",0,B91*IFERROR(INDEX('Transição Tributária'!$K$13:$K$20,MATCH(N91,'Transição Tributária'!$A$13:$A$20,0)),0))</f>
        <v/>
      </c>
      <c r="S91" s="44">
        <f>ROUNDUP(A91/3,0)</f>
        <v/>
      </c>
      <c r="T91" s="33">
        <f>IF('Matriz Normativa &amp; Governança'!$C$8="Alíquota plena — sensibilidade",B91*$C$17/(1+$C$17),IF(O91="",0,B91*O91/(1+O91)))</f>
        <v/>
      </c>
      <c r="U91" s="33">
        <f>E91*Q91</f>
        <v/>
      </c>
      <c r="V91" s="33">
        <f>G91*Q91</f>
        <v/>
      </c>
    </row>
    <row r="92" ht="30" customHeight="1">
      <c r="A92" s="31" t="n">
        <v>50</v>
      </c>
      <c r="B92" s="44">
        <f>IF(A92=1,$C$27*'Premissas &amp; Cenários'!$B$19,IF(A92='Premissas &amp; Cenários'!$B$18,$C$27*'Premissas &amp; Cenários'!$B$21,IF(AND(A92&gt;1,A92&lt;'Premissas &amp; Cenários'!$B$18),$C$27*'Premissas &amp; Cenários'!$B$20/'Premissas &amp; Cenários'!$B$17,0)))</f>
        <v/>
      </c>
      <c r="C92" s="33">
        <f>B92*$C$32</f>
        <v/>
      </c>
      <c r="D92" s="44">
        <f>IF('Matriz Normativa &amp; Governança'!$C$8="Alíquota plena — sensibilidade",C92*$C$17/(1+$C$17),IF(O92="","",C92*O92/(1+O92)))</f>
        <v/>
      </c>
      <c r="E92" s="44">
        <f>IF(AND(A92&gt;='Premissas &amp; Cenários'!$B$14,A92&lt;='Premissas &amp; Cenários'!$B$15),$C$20/'Premissas &amp; Cenários'!$B$17,0)</f>
        <v/>
      </c>
      <c r="F92" s="33">
        <f>E92*$C$22*Q92</f>
        <v/>
      </c>
      <c r="G92" s="44">
        <f>IFERROR('Premissas &amp; Cenários'!$B$22/'Premissas &amp; Cenários'!$B$18,0)</f>
        <v/>
      </c>
      <c r="H92" s="33">
        <f>G92*$C$23*Q92</f>
        <v/>
      </c>
      <c r="I92" s="33">
        <f>K91</f>
        <v/>
      </c>
      <c r="J92" s="33">
        <f>MAX(0,D92-F92-H92-I92)</f>
        <v/>
      </c>
      <c r="K92" s="33">
        <f>MAX(0,I92+F92+H92-D92)</f>
        <v/>
      </c>
      <c r="L92" s="33">
        <f>L91+J92</f>
        <v/>
      </c>
      <c r="M92" s="33">
        <f>SUM($D$43:D92)</f>
        <v/>
      </c>
      <c r="N92" s="44">
        <f>IF(A92&lt;=12,'Premissas &amp; Cenários'!$B$50,IF(A92&lt;=24,'Premissas &amp; Cenários'!$B$50+1,IF(A92&lt;=36,'Premissas &amp; Cenários'!$B$50+2,IF(A92&lt;=48,'Premissas &amp; Cenários'!$B$50+3,'Premissas &amp; Cenários'!$B$50+4))))</f>
        <v/>
      </c>
      <c r="O92" s="47">
        <f>IFERROR(INDEX('Transição Tributária'!$G$13:$G$20,MATCH(N92,'Transição Tributária'!$A$13:$A$20,0)),"")</f>
        <v/>
      </c>
      <c r="P92" s="48">
        <f>IF(O92="","PENDENTE",IFERROR(INDEX('Transição Tributária'!$I$13:$I$20,MATCH(N92,'Transição Tributária'!$A$13:$A$20,0)),"PENDENTE"))</f>
        <v/>
      </c>
      <c r="Q92" s="47">
        <f>IF('Matriz Normativa &amp; Governança'!$C$8="Alíquota plena — sensibilidade",1,IFERROR(INDEX('Transição Tributária'!$L$13:$L$20,MATCH(N92,'Transição Tributária'!$A$13:$A$20,0)),0))</f>
        <v/>
      </c>
      <c r="R92" s="33">
        <f>IF('Matriz Normativa &amp; Governança'!$C$8="Alíquota plena — sensibilidade",0,B92*IFERROR(INDEX('Transição Tributária'!$K$13:$K$20,MATCH(N92,'Transição Tributária'!$A$13:$A$20,0)),0))</f>
        <v/>
      </c>
      <c r="S92" s="44">
        <f>ROUNDUP(A92/3,0)</f>
        <v/>
      </c>
      <c r="T92" s="33">
        <f>IF('Matriz Normativa &amp; Governança'!$C$8="Alíquota plena — sensibilidade",B92*$C$17/(1+$C$17),IF(O92="",0,B92*O92/(1+O92)))</f>
        <v/>
      </c>
      <c r="U92" s="33">
        <f>E92*Q92</f>
        <v/>
      </c>
      <c r="V92" s="33">
        <f>G92*Q92</f>
        <v/>
      </c>
    </row>
    <row r="93" ht="30" customHeight="1">
      <c r="A93" s="31" t="n">
        <v>51</v>
      </c>
      <c r="B93" s="44">
        <f>IF(A93=1,$C$27*'Premissas &amp; Cenários'!$B$19,IF(A93='Premissas &amp; Cenários'!$B$18,$C$27*'Premissas &amp; Cenários'!$B$21,IF(AND(A93&gt;1,A93&lt;'Premissas &amp; Cenários'!$B$18),$C$27*'Premissas &amp; Cenários'!$B$20/'Premissas &amp; Cenários'!$B$17,0)))</f>
        <v/>
      </c>
      <c r="C93" s="33">
        <f>B93*$C$32</f>
        <v/>
      </c>
      <c r="D93" s="44">
        <f>IF('Matriz Normativa &amp; Governança'!$C$8="Alíquota plena — sensibilidade",C93*$C$17/(1+$C$17),IF(O93="","",C93*O93/(1+O93)))</f>
        <v/>
      </c>
      <c r="E93" s="44">
        <f>IF(AND(A93&gt;='Premissas &amp; Cenários'!$B$14,A93&lt;='Premissas &amp; Cenários'!$B$15),$C$20/'Premissas &amp; Cenários'!$B$17,0)</f>
        <v/>
      </c>
      <c r="F93" s="33">
        <f>E93*$C$22*Q93</f>
        <v/>
      </c>
      <c r="G93" s="44">
        <f>IFERROR('Premissas &amp; Cenários'!$B$22/'Premissas &amp; Cenários'!$B$18,0)</f>
        <v/>
      </c>
      <c r="H93" s="33">
        <f>G93*$C$23*Q93</f>
        <v/>
      </c>
      <c r="I93" s="33">
        <f>K92</f>
        <v/>
      </c>
      <c r="J93" s="33">
        <f>MAX(0,D93-F93-H93-I93)</f>
        <v/>
      </c>
      <c r="K93" s="33">
        <f>MAX(0,I93+F93+H93-D93)</f>
        <v/>
      </c>
      <c r="L93" s="33">
        <f>L92+J93</f>
        <v/>
      </c>
      <c r="M93" s="33">
        <f>SUM($D$43:D93)</f>
        <v/>
      </c>
      <c r="N93" s="44">
        <f>IF(A93&lt;=12,'Premissas &amp; Cenários'!$B$50,IF(A93&lt;=24,'Premissas &amp; Cenários'!$B$50+1,IF(A93&lt;=36,'Premissas &amp; Cenários'!$B$50+2,IF(A93&lt;=48,'Premissas &amp; Cenários'!$B$50+3,'Premissas &amp; Cenários'!$B$50+4))))</f>
        <v/>
      </c>
      <c r="O93" s="47">
        <f>IFERROR(INDEX('Transição Tributária'!$G$13:$G$20,MATCH(N93,'Transição Tributária'!$A$13:$A$20,0)),"")</f>
        <v/>
      </c>
      <c r="P93" s="48">
        <f>IF(O93="","PENDENTE",IFERROR(INDEX('Transição Tributária'!$I$13:$I$20,MATCH(N93,'Transição Tributária'!$A$13:$A$20,0)),"PENDENTE"))</f>
        <v/>
      </c>
      <c r="Q93" s="47">
        <f>IF('Matriz Normativa &amp; Governança'!$C$8="Alíquota plena — sensibilidade",1,IFERROR(INDEX('Transição Tributária'!$L$13:$L$20,MATCH(N93,'Transição Tributária'!$A$13:$A$20,0)),0))</f>
        <v/>
      </c>
      <c r="R93" s="33">
        <f>IF('Matriz Normativa &amp; Governança'!$C$8="Alíquota plena — sensibilidade",0,B93*IFERROR(INDEX('Transição Tributária'!$K$13:$K$20,MATCH(N93,'Transição Tributária'!$A$13:$A$20,0)),0))</f>
        <v/>
      </c>
      <c r="S93" s="44">
        <f>ROUNDUP(A93/3,0)</f>
        <v/>
      </c>
      <c r="T93" s="33">
        <f>IF('Matriz Normativa &amp; Governança'!$C$8="Alíquota plena — sensibilidade",B93*$C$17/(1+$C$17),IF(O93="",0,B93*O93/(1+O93)))</f>
        <v/>
      </c>
      <c r="U93" s="33">
        <f>E93*Q93</f>
        <v/>
      </c>
      <c r="V93" s="33">
        <f>G93*Q93</f>
        <v/>
      </c>
    </row>
    <row r="94" ht="30" customHeight="1">
      <c r="A94" s="31" t="n">
        <v>52</v>
      </c>
      <c r="B94" s="44">
        <f>IF(A94=1,$C$27*'Premissas &amp; Cenários'!$B$19,IF(A94='Premissas &amp; Cenários'!$B$18,$C$27*'Premissas &amp; Cenários'!$B$21,IF(AND(A94&gt;1,A94&lt;'Premissas &amp; Cenários'!$B$18),$C$27*'Premissas &amp; Cenários'!$B$20/'Premissas &amp; Cenários'!$B$17,0)))</f>
        <v/>
      </c>
      <c r="C94" s="33">
        <f>B94*$C$32</f>
        <v/>
      </c>
      <c r="D94" s="44">
        <f>IF('Matriz Normativa &amp; Governança'!$C$8="Alíquota plena — sensibilidade",C94*$C$17/(1+$C$17),IF(O94="","",C94*O94/(1+O94)))</f>
        <v/>
      </c>
      <c r="E94" s="44">
        <f>IF(AND(A94&gt;='Premissas &amp; Cenários'!$B$14,A94&lt;='Premissas &amp; Cenários'!$B$15),$C$20/'Premissas &amp; Cenários'!$B$17,0)</f>
        <v/>
      </c>
      <c r="F94" s="33">
        <f>E94*$C$22*Q94</f>
        <v/>
      </c>
      <c r="G94" s="44">
        <f>IFERROR('Premissas &amp; Cenários'!$B$22/'Premissas &amp; Cenários'!$B$18,0)</f>
        <v/>
      </c>
      <c r="H94" s="33">
        <f>G94*$C$23*Q94</f>
        <v/>
      </c>
      <c r="I94" s="33">
        <f>K93</f>
        <v/>
      </c>
      <c r="J94" s="33">
        <f>MAX(0,D94-F94-H94-I94)</f>
        <v/>
      </c>
      <c r="K94" s="33">
        <f>MAX(0,I94+F94+H94-D94)</f>
        <v/>
      </c>
      <c r="L94" s="33">
        <f>L93+J94</f>
        <v/>
      </c>
      <c r="M94" s="33">
        <f>SUM($D$43:D94)</f>
        <v/>
      </c>
      <c r="N94" s="44">
        <f>IF(A94&lt;=12,'Premissas &amp; Cenários'!$B$50,IF(A94&lt;=24,'Premissas &amp; Cenários'!$B$50+1,IF(A94&lt;=36,'Premissas &amp; Cenários'!$B$50+2,IF(A94&lt;=48,'Premissas &amp; Cenários'!$B$50+3,'Premissas &amp; Cenários'!$B$50+4))))</f>
        <v/>
      </c>
      <c r="O94" s="47">
        <f>IFERROR(INDEX('Transição Tributária'!$G$13:$G$20,MATCH(N94,'Transição Tributária'!$A$13:$A$20,0)),"")</f>
        <v/>
      </c>
      <c r="P94" s="48">
        <f>IF(O94="","PENDENTE",IFERROR(INDEX('Transição Tributária'!$I$13:$I$20,MATCH(N94,'Transição Tributária'!$A$13:$A$20,0)),"PENDENTE"))</f>
        <v/>
      </c>
      <c r="Q94" s="47">
        <f>IF('Matriz Normativa &amp; Governança'!$C$8="Alíquota plena — sensibilidade",1,IFERROR(INDEX('Transição Tributária'!$L$13:$L$20,MATCH(N94,'Transição Tributária'!$A$13:$A$20,0)),0))</f>
        <v/>
      </c>
      <c r="R94" s="33">
        <f>IF('Matriz Normativa &amp; Governança'!$C$8="Alíquota plena — sensibilidade",0,B94*IFERROR(INDEX('Transição Tributária'!$K$13:$K$20,MATCH(N94,'Transição Tributária'!$A$13:$A$20,0)),0))</f>
        <v/>
      </c>
      <c r="S94" s="44">
        <f>ROUNDUP(A94/3,0)</f>
        <v/>
      </c>
      <c r="T94" s="33">
        <f>IF('Matriz Normativa &amp; Governança'!$C$8="Alíquota plena — sensibilidade",B94*$C$17/(1+$C$17),IF(O94="",0,B94*O94/(1+O94)))</f>
        <v/>
      </c>
      <c r="U94" s="33">
        <f>E94*Q94</f>
        <v/>
      </c>
      <c r="V94" s="33">
        <f>G94*Q94</f>
        <v/>
      </c>
    </row>
    <row r="95" ht="30" customHeight="1">
      <c r="A95" s="31" t="n">
        <v>53</v>
      </c>
      <c r="B95" s="44">
        <f>IF(A95=1,$C$27*'Premissas &amp; Cenários'!$B$19,IF(A95='Premissas &amp; Cenários'!$B$18,$C$27*'Premissas &amp; Cenários'!$B$21,IF(AND(A95&gt;1,A95&lt;'Premissas &amp; Cenários'!$B$18),$C$27*'Premissas &amp; Cenários'!$B$20/'Premissas &amp; Cenários'!$B$17,0)))</f>
        <v/>
      </c>
      <c r="C95" s="33">
        <f>B95*$C$32</f>
        <v/>
      </c>
      <c r="D95" s="44">
        <f>IF('Matriz Normativa &amp; Governança'!$C$8="Alíquota plena — sensibilidade",C95*$C$17/(1+$C$17),IF(O95="","",C95*O95/(1+O95)))</f>
        <v/>
      </c>
      <c r="E95" s="44">
        <f>IF(AND(A95&gt;='Premissas &amp; Cenários'!$B$14,A95&lt;='Premissas &amp; Cenários'!$B$15),$C$20/'Premissas &amp; Cenários'!$B$17,0)</f>
        <v/>
      </c>
      <c r="F95" s="33">
        <f>E95*$C$22*Q95</f>
        <v/>
      </c>
      <c r="G95" s="44">
        <f>IFERROR('Premissas &amp; Cenários'!$B$22/'Premissas &amp; Cenários'!$B$18,0)</f>
        <v/>
      </c>
      <c r="H95" s="33">
        <f>G95*$C$23*Q95</f>
        <v/>
      </c>
      <c r="I95" s="33">
        <f>K94</f>
        <v/>
      </c>
      <c r="J95" s="33">
        <f>MAX(0,D95-F95-H95-I95)</f>
        <v/>
      </c>
      <c r="K95" s="33">
        <f>MAX(0,I95+F95+H95-D95)</f>
        <v/>
      </c>
      <c r="L95" s="33">
        <f>L94+J95</f>
        <v/>
      </c>
      <c r="M95" s="33">
        <f>SUM($D$43:D95)</f>
        <v/>
      </c>
      <c r="N95" s="44">
        <f>IF(A95&lt;=12,'Premissas &amp; Cenários'!$B$50,IF(A95&lt;=24,'Premissas &amp; Cenários'!$B$50+1,IF(A95&lt;=36,'Premissas &amp; Cenários'!$B$50+2,IF(A95&lt;=48,'Premissas &amp; Cenários'!$B$50+3,'Premissas &amp; Cenários'!$B$50+4))))</f>
        <v/>
      </c>
      <c r="O95" s="47">
        <f>IFERROR(INDEX('Transição Tributária'!$G$13:$G$20,MATCH(N95,'Transição Tributária'!$A$13:$A$20,0)),"")</f>
        <v/>
      </c>
      <c r="P95" s="48">
        <f>IF(O95="","PENDENTE",IFERROR(INDEX('Transição Tributária'!$I$13:$I$20,MATCH(N95,'Transição Tributária'!$A$13:$A$20,0)),"PENDENTE"))</f>
        <v/>
      </c>
      <c r="Q95" s="47">
        <f>IF('Matriz Normativa &amp; Governança'!$C$8="Alíquota plena — sensibilidade",1,IFERROR(INDEX('Transição Tributária'!$L$13:$L$20,MATCH(N95,'Transição Tributária'!$A$13:$A$20,0)),0))</f>
        <v/>
      </c>
      <c r="R95" s="33">
        <f>IF('Matriz Normativa &amp; Governança'!$C$8="Alíquota plena — sensibilidade",0,B95*IFERROR(INDEX('Transição Tributária'!$K$13:$K$20,MATCH(N95,'Transição Tributária'!$A$13:$A$20,0)),0))</f>
        <v/>
      </c>
      <c r="S95" s="44">
        <f>ROUNDUP(A95/3,0)</f>
        <v/>
      </c>
      <c r="T95" s="33">
        <f>IF('Matriz Normativa &amp; Governança'!$C$8="Alíquota plena — sensibilidade",B95*$C$17/(1+$C$17),IF(O95="",0,B95*O95/(1+O95)))</f>
        <v/>
      </c>
      <c r="U95" s="33">
        <f>E95*Q95</f>
        <v/>
      </c>
      <c r="V95" s="33">
        <f>G95*Q95</f>
        <v/>
      </c>
    </row>
    <row r="96" ht="30" customHeight="1">
      <c r="A96" s="31" t="n">
        <v>54</v>
      </c>
      <c r="B96" s="44">
        <f>IF(A96=1,$C$27*'Premissas &amp; Cenários'!$B$19,IF(A96='Premissas &amp; Cenários'!$B$18,$C$27*'Premissas &amp; Cenários'!$B$21,IF(AND(A96&gt;1,A96&lt;'Premissas &amp; Cenários'!$B$18),$C$27*'Premissas &amp; Cenários'!$B$20/'Premissas &amp; Cenários'!$B$17,0)))</f>
        <v/>
      </c>
      <c r="C96" s="33">
        <f>B96*$C$32</f>
        <v/>
      </c>
      <c r="D96" s="44">
        <f>IF('Matriz Normativa &amp; Governança'!$C$8="Alíquota plena — sensibilidade",C96*$C$17/(1+$C$17),IF(O96="","",C96*O96/(1+O96)))</f>
        <v/>
      </c>
      <c r="E96" s="44">
        <f>IF(AND(A96&gt;='Premissas &amp; Cenários'!$B$14,A96&lt;='Premissas &amp; Cenários'!$B$15),$C$20/'Premissas &amp; Cenários'!$B$17,0)</f>
        <v/>
      </c>
      <c r="F96" s="33">
        <f>E96*$C$22*Q96</f>
        <v/>
      </c>
      <c r="G96" s="44">
        <f>IFERROR('Premissas &amp; Cenários'!$B$22/'Premissas &amp; Cenários'!$B$18,0)</f>
        <v/>
      </c>
      <c r="H96" s="33">
        <f>G96*$C$23*Q96</f>
        <v/>
      </c>
      <c r="I96" s="33">
        <f>K95</f>
        <v/>
      </c>
      <c r="J96" s="33">
        <f>MAX(0,D96-F96-H96-I96)</f>
        <v/>
      </c>
      <c r="K96" s="33">
        <f>MAX(0,I96+F96+H96-D96)</f>
        <v/>
      </c>
      <c r="L96" s="33">
        <f>L95+J96</f>
        <v/>
      </c>
      <c r="M96" s="33">
        <f>SUM($D$43:D96)</f>
        <v/>
      </c>
      <c r="N96" s="44">
        <f>IF(A96&lt;=12,'Premissas &amp; Cenários'!$B$50,IF(A96&lt;=24,'Premissas &amp; Cenários'!$B$50+1,IF(A96&lt;=36,'Premissas &amp; Cenários'!$B$50+2,IF(A96&lt;=48,'Premissas &amp; Cenários'!$B$50+3,'Premissas &amp; Cenários'!$B$50+4))))</f>
        <v/>
      </c>
      <c r="O96" s="47">
        <f>IFERROR(INDEX('Transição Tributária'!$G$13:$G$20,MATCH(N96,'Transição Tributária'!$A$13:$A$20,0)),"")</f>
        <v/>
      </c>
      <c r="P96" s="48">
        <f>IF(O96="","PENDENTE",IFERROR(INDEX('Transição Tributária'!$I$13:$I$20,MATCH(N96,'Transição Tributária'!$A$13:$A$20,0)),"PENDENTE"))</f>
        <v/>
      </c>
      <c r="Q96" s="47">
        <f>IF('Matriz Normativa &amp; Governança'!$C$8="Alíquota plena — sensibilidade",1,IFERROR(INDEX('Transição Tributária'!$L$13:$L$20,MATCH(N96,'Transição Tributária'!$A$13:$A$20,0)),0))</f>
        <v/>
      </c>
      <c r="R96" s="33">
        <f>IF('Matriz Normativa &amp; Governança'!$C$8="Alíquota plena — sensibilidade",0,B96*IFERROR(INDEX('Transição Tributária'!$K$13:$K$20,MATCH(N96,'Transição Tributária'!$A$13:$A$20,0)),0))</f>
        <v/>
      </c>
      <c r="S96" s="44">
        <f>ROUNDUP(A96/3,0)</f>
        <v/>
      </c>
      <c r="T96" s="33">
        <f>IF('Matriz Normativa &amp; Governança'!$C$8="Alíquota plena — sensibilidade",B96*$C$17/(1+$C$17),IF(O96="",0,B96*O96/(1+O96)))</f>
        <v/>
      </c>
      <c r="U96" s="33">
        <f>E96*Q96</f>
        <v/>
      </c>
      <c r="V96" s="33">
        <f>G96*Q96</f>
        <v/>
      </c>
    </row>
    <row r="97" ht="30" customHeight="1">
      <c r="A97" s="31" t="n">
        <v>55</v>
      </c>
      <c r="B97" s="44">
        <f>IF(A97=1,$C$27*'Premissas &amp; Cenários'!$B$19,IF(A97='Premissas &amp; Cenários'!$B$18,$C$27*'Premissas &amp; Cenários'!$B$21,IF(AND(A97&gt;1,A97&lt;'Premissas &amp; Cenários'!$B$18),$C$27*'Premissas &amp; Cenários'!$B$20/'Premissas &amp; Cenários'!$B$17,0)))</f>
        <v/>
      </c>
      <c r="C97" s="33">
        <f>B97*$C$32</f>
        <v/>
      </c>
      <c r="D97" s="44">
        <f>IF('Matriz Normativa &amp; Governança'!$C$8="Alíquota plena — sensibilidade",C97*$C$17/(1+$C$17),IF(O97="","",C97*O97/(1+O97)))</f>
        <v/>
      </c>
      <c r="E97" s="44">
        <f>IF(AND(A97&gt;='Premissas &amp; Cenários'!$B$14,A97&lt;='Premissas &amp; Cenários'!$B$15),$C$20/'Premissas &amp; Cenários'!$B$17,0)</f>
        <v/>
      </c>
      <c r="F97" s="33">
        <f>E97*$C$22*Q97</f>
        <v/>
      </c>
      <c r="G97" s="44">
        <f>IFERROR('Premissas &amp; Cenários'!$B$22/'Premissas &amp; Cenários'!$B$18,0)</f>
        <v/>
      </c>
      <c r="H97" s="33">
        <f>G97*$C$23*Q97</f>
        <v/>
      </c>
      <c r="I97" s="33">
        <f>K96</f>
        <v/>
      </c>
      <c r="J97" s="33">
        <f>MAX(0,D97-F97-H97-I97)</f>
        <v/>
      </c>
      <c r="K97" s="33">
        <f>MAX(0,I97+F97+H97-D97)</f>
        <v/>
      </c>
      <c r="L97" s="33">
        <f>L96+J97</f>
        <v/>
      </c>
      <c r="M97" s="33">
        <f>SUM($D$43:D97)</f>
        <v/>
      </c>
      <c r="N97" s="44">
        <f>IF(A97&lt;=12,'Premissas &amp; Cenários'!$B$50,IF(A97&lt;=24,'Premissas &amp; Cenários'!$B$50+1,IF(A97&lt;=36,'Premissas &amp; Cenários'!$B$50+2,IF(A97&lt;=48,'Premissas &amp; Cenários'!$B$50+3,'Premissas &amp; Cenários'!$B$50+4))))</f>
        <v/>
      </c>
      <c r="O97" s="47">
        <f>IFERROR(INDEX('Transição Tributária'!$G$13:$G$20,MATCH(N97,'Transição Tributária'!$A$13:$A$20,0)),"")</f>
        <v/>
      </c>
      <c r="P97" s="48">
        <f>IF(O97="","PENDENTE",IFERROR(INDEX('Transição Tributária'!$I$13:$I$20,MATCH(N97,'Transição Tributária'!$A$13:$A$20,0)),"PENDENTE"))</f>
        <v/>
      </c>
      <c r="Q97" s="47">
        <f>IF('Matriz Normativa &amp; Governança'!$C$8="Alíquota plena — sensibilidade",1,IFERROR(INDEX('Transição Tributária'!$L$13:$L$20,MATCH(N97,'Transição Tributária'!$A$13:$A$20,0)),0))</f>
        <v/>
      </c>
      <c r="R97" s="33">
        <f>IF('Matriz Normativa &amp; Governança'!$C$8="Alíquota plena — sensibilidade",0,B97*IFERROR(INDEX('Transição Tributária'!$K$13:$K$20,MATCH(N97,'Transição Tributária'!$A$13:$A$20,0)),0))</f>
        <v/>
      </c>
      <c r="S97" s="44">
        <f>ROUNDUP(A97/3,0)</f>
        <v/>
      </c>
      <c r="T97" s="33">
        <f>IF('Matriz Normativa &amp; Governança'!$C$8="Alíquota plena — sensibilidade",B97*$C$17/(1+$C$17),IF(O97="",0,B97*O97/(1+O97)))</f>
        <v/>
      </c>
      <c r="U97" s="33">
        <f>E97*Q97</f>
        <v/>
      </c>
      <c r="V97" s="33">
        <f>G97*Q97</f>
        <v/>
      </c>
    </row>
    <row r="98" ht="30" customHeight="1">
      <c r="A98" s="31" t="n">
        <v>56</v>
      </c>
      <c r="B98" s="44">
        <f>IF(A98=1,$C$27*'Premissas &amp; Cenários'!$B$19,IF(A98='Premissas &amp; Cenários'!$B$18,$C$27*'Premissas &amp; Cenários'!$B$21,IF(AND(A98&gt;1,A98&lt;'Premissas &amp; Cenários'!$B$18),$C$27*'Premissas &amp; Cenários'!$B$20/'Premissas &amp; Cenários'!$B$17,0)))</f>
        <v/>
      </c>
      <c r="C98" s="33">
        <f>B98*$C$32</f>
        <v/>
      </c>
      <c r="D98" s="44">
        <f>IF('Matriz Normativa &amp; Governança'!$C$8="Alíquota plena — sensibilidade",C98*$C$17/(1+$C$17),IF(O98="","",C98*O98/(1+O98)))</f>
        <v/>
      </c>
      <c r="E98" s="44">
        <f>IF(AND(A98&gt;='Premissas &amp; Cenários'!$B$14,A98&lt;='Premissas &amp; Cenários'!$B$15),$C$20/'Premissas &amp; Cenários'!$B$17,0)</f>
        <v/>
      </c>
      <c r="F98" s="33">
        <f>E98*$C$22*Q98</f>
        <v/>
      </c>
      <c r="G98" s="44">
        <f>IFERROR('Premissas &amp; Cenários'!$B$22/'Premissas &amp; Cenários'!$B$18,0)</f>
        <v/>
      </c>
      <c r="H98" s="33">
        <f>G98*$C$23*Q98</f>
        <v/>
      </c>
      <c r="I98" s="33">
        <f>K97</f>
        <v/>
      </c>
      <c r="J98" s="33">
        <f>MAX(0,D98-F98-H98-I98)</f>
        <v/>
      </c>
      <c r="K98" s="33">
        <f>MAX(0,I98+F98+H98-D98)</f>
        <v/>
      </c>
      <c r="L98" s="33">
        <f>L97+J98</f>
        <v/>
      </c>
      <c r="M98" s="33">
        <f>SUM($D$43:D98)</f>
        <v/>
      </c>
      <c r="N98" s="44">
        <f>IF(A98&lt;=12,'Premissas &amp; Cenários'!$B$50,IF(A98&lt;=24,'Premissas &amp; Cenários'!$B$50+1,IF(A98&lt;=36,'Premissas &amp; Cenários'!$B$50+2,IF(A98&lt;=48,'Premissas &amp; Cenários'!$B$50+3,'Premissas &amp; Cenários'!$B$50+4))))</f>
        <v/>
      </c>
      <c r="O98" s="47">
        <f>IFERROR(INDEX('Transição Tributária'!$G$13:$G$20,MATCH(N98,'Transição Tributária'!$A$13:$A$20,0)),"")</f>
        <v/>
      </c>
      <c r="P98" s="48">
        <f>IF(O98="","PENDENTE",IFERROR(INDEX('Transição Tributária'!$I$13:$I$20,MATCH(N98,'Transição Tributária'!$A$13:$A$20,0)),"PENDENTE"))</f>
        <v/>
      </c>
      <c r="Q98" s="47">
        <f>IF('Matriz Normativa &amp; Governança'!$C$8="Alíquota plena — sensibilidade",1,IFERROR(INDEX('Transição Tributária'!$L$13:$L$20,MATCH(N98,'Transição Tributária'!$A$13:$A$20,0)),0))</f>
        <v/>
      </c>
      <c r="R98" s="33">
        <f>IF('Matriz Normativa &amp; Governança'!$C$8="Alíquota plena — sensibilidade",0,B98*IFERROR(INDEX('Transição Tributária'!$K$13:$K$20,MATCH(N98,'Transição Tributária'!$A$13:$A$20,0)),0))</f>
        <v/>
      </c>
      <c r="S98" s="44">
        <f>ROUNDUP(A98/3,0)</f>
        <v/>
      </c>
      <c r="T98" s="33">
        <f>IF('Matriz Normativa &amp; Governança'!$C$8="Alíquota plena — sensibilidade",B98*$C$17/(1+$C$17),IF(O98="",0,B98*O98/(1+O98)))</f>
        <v/>
      </c>
      <c r="U98" s="33">
        <f>E98*Q98</f>
        <v/>
      </c>
      <c r="V98" s="33">
        <f>G98*Q98</f>
        <v/>
      </c>
    </row>
    <row r="99" ht="30" customHeight="1">
      <c r="A99" s="31" t="n">
        <v>57</v>
      </c>
      <c r="B99" s="44">
        <f>IF(A99=1,$C$27*'Premissas &amp; Cenários'!$B$19,IF(A99='Premissas &amp; Cenários'!$B$18,$C$27*'Premissas &amp; Cenários'!$B$21,IF(AND(A99&gt;1,A99&lt;'Premissas &amp; Cenários'!$B$18),$C$27*'Premissas &amp; Cenários'!$B$20/'Premissas &amp; Cenários'!$B$17,0)))</f>
        <v/>
      </c>
      <c r="C99" s="33">
        <f>B99*$C$32</f>
        <v/>
      </c>
      <c r="D99" s="44">
        <f>IF('Matriz Normativa &amp; Governança'!$C$8="Alíquota plena — sensibilidade",C99*$C$17/(1+$C$17),IF(O99="","",C99*O99/(1+O99)))</f>
        <v/>
      </c>
      <c r="E99" s="44">
        <f>IF(AND(A99&gt;='Premissas &amp; Cenários'!$B$14,A99&lt;='Premissas &amp; Cenários'!$B$15),$C$20/'Premissas &amp; Cenários'!$B$17,0)</f>
        <v/>
      </c>
      <c r="F99" s="33">
        <f>E99*$C$22*Q99</f>
        <v/>
      </c>
      <c r="G99" s="44">
        <f>IFERROR('Premissas &amp; Cenários'!$B$22/'Premissas &amp; Cenários'!$B$18,0)</f>
        <v/>
      </c>
      <c r="H99" s="33">
        <f>G99*$C$23*Q99</f>
        <v/>
      </c>
      <c r="I99" s="33">
        <f>K98</f>
        <v/>
      </c>
      <c r="J99" s="33">
        <f>MAX(0,D99-F99-H99-I99)</f>
        <v/>
      </c>
      <c r="K99" s="33">
        <f>MAX(0,I99+F99+H99-D99)</f>
        <v/>
      </c>
      <c r="L99" s="33">
        <f>L98+J99</f>
        <v/>
      </c>
      <c r="M99" s="33">
        <f>SUM($D$43:D99)</f>
        <v/>
      </c>
      <c r="N99" s="44">
        <f>IF(A99&lt;=12,'Premissas &amp; Cenários'!$B$50,IF(A99&lt;=24,'Premissas &amp; Cenários'!$B$50+1,IF(A99&lt;=36,'Premissas &amp; Cenários'!$B$50+2,IF(A99&lt;=48,'Premissas &amp; Cenários'!$B$50+3,'Premissas &amp; Cenários'!$B$50+4))))</f>
        <v/>
      </c>
      <c r="O99" s="47">
        <f>IFERROR(INDEX('Transição Tributária'!$G$13:$G$20,MATCH(N99,'Transição Tributária'!$A$13:$A$20,0)),"")</f>
        <v/>
      </c>
      <c r="P99" s="48">
        <f>IF(O99="","PENDENTE",IFERROR(INDEX('Transição Tributária'!$I$13:$I$20,MATCH(N99,'Transição Tributária'!$A$13:$A$20,0)),"PENDENTE"))</f>
        <v/>
      </c>
      <c r="Q99" s="47">
        <f>IF('Matriz Normativa &amp; Governança'!$C$8="Alíquota plena — sensibilidade",1,IFERROR(INDEX('Transição Tributária'!$L$13:$L$20,MATCH(N99,'Transição Tributária'!$A$13:$A$20,0)),0))</f>
        <v/>
      </c>
      <c r="R99" s="33">
        <f>IF('Matriz Normativa &amp; Governança'!$C$8="Alíquota plena — sensibilidade",0,B99*IFERROR(INDEX('Transição Tributária'!$K$13:$K$20,MATCH(N99,'Transição Tributária'!$A$13:$A$20,0)),0))</f>
        <v/>
      </c>
      <c r="S99" s="44">
        <f>ROUNDUP(A99/3,0)</f>
        <v/>
      </c>
      <c r="T99" s="33">
        <f>IF('Matriz Normativa &amp; Governança'!$C$8="Alíquota plena — sensibilidade",B99*$C$17/(1+$C$17),IF(O99="",0,B99*O99/(1+O99)))</f>
        <v/>
      </c>
      <c r="U99" s="33">
        <f>E99*Q99</f>
        <v/>
      </c>
      <c r="V99" s="33">
        <f>G99*Q99</f>
        <v/>
      </c>
    </row>
    <row r="100" ht="30" customHeight="1">
      <c r="A100" s="31" t="n">
        <v>58</v>
      </c>
      <c r="B100" s="44">
        <f>IF(A100=1,$C$27*'Premissas &amp; Cenários'!$B$19,IF(A100='Premissas &amp; Cenários'!$B$18,$C$27*'Premissas &amp; Cenários'!$B$21,IF(AND(A100&gt;1,A100&lt;'Premissas &amp; Cenários'!$B$18),$C$27*'Premissas &amp; Cenários'!$B$20/'Premissas &amp; Cenários'!$B$17,0)))</f>
        <v/>
      </c>
      <c r="C100" s="33">
        <f>B100*$C$32</f>
        <v/>
      </c>
      <c r="D100" s="44">
        <f>IF('Matriz Normativa &amp; Governança'!$C$8="Alíquota plena — sensibilidade",C100*$C$17/(1+$C$17),IF(O100="","",C100*O100/(1+O100)))</f>
        <v/>
      </c>
      <c r="E100" s="44">
        <f>IF(AND(A100&gt;='Premissas &amp; Cenários'!$B$14,A100&lt;='Premissas &amp; Cenários'!$B$15),$C$20/'Premissas &amp; Cenários'!$B$17,0)</f>
        <v/>
      </c>
      <c r="F100" s="33">
        <f>E100*$C$22*Q100</f>
        <v/>
      </c>
      <c r="G100" s="44">
        <f>IFERROR('Premissas &amp; Cenários'!$B$22/'Premissas &amp; Cenários'!$B$18,0)</f>
        <v/>
      </c>
      <c r="H100" s="33">
        <f>G100*$C$23*Q100</f>
        <v/>
      </c>
      <c r="I100" s="33">
        <f>K99</f>
        <v/>
      </c>
      <c r="J100" s="33">
        <f>MAX(0,D100-F100-H100-I100)</f>
        <v/>
      </c>
      <c r="K100" s="33">
        <f>MAX(0,I100+F100+H100-D100)</f>
        <v/>
      </c>
      <c r="L100" s="33">
        <f>L99+J100</f>
        <v/>
      </c>
      <c r="M100" s="33">
        <f>SUM($D$43:D100)</f>
        <v/>
      </c>
      <c r="N100" s="44">
        <f>IF(A100&lt;=12,'Premissas &amp; Cenários'!$B$50,IF(A100&lt;=24,'Premissas &amp; Cenários'!$B$50+1,IF(A100&lt;=36,'Premissas &amp; Cenários'!$B$50+2,IF(A100&lt;=48,'Premissas &amp; Cenários'!$B$50+3,'Premissas &amp; Cenários'!$B$50+4))))</f>
        <v/>
      </c>
      <c r="O100" s="47">
        <f>IFERROR(INDEX('Transição Tributária'!$G$13:$G$20,MATCH(N100,'Transição Tributária'!$A$13:$A$20,0)),"")</f>
        <v/>
      </c>
      <c r="P100" s="48">
        <f>IF(O100="","PENDENTE",IFERROR(INDEX('Transição Tributária'!$I$13:$I$20,MATCH(N100,'Transição Tributária'!$A$13:$A$20,0)),"PENDENTE"))</f>
        <v/>
      </c>
      <c r="Q100" s="47">
        <f>IF('Matriz Normativa &amp; Governança'!$C$8="Alíquota plena — sensibilidade",1,IFERROR(INDEX('Transição Tributária'!$L$13:$L$20,MATCH(N100,'Transição Tributária'!$A$13:$A$20,0)),0))</f>
        <v/>
      </c>
      <c r="R100" s="33">
        <f>IF('Matriz Normativa &amp; Governança'!$C$8="Alíquota plena — sensibilidade",0,B100*IFERROR(INDEX('Transição Tributária'!$K$13:$K$20,MATCH(N100,'Transição Tributária'!$A$13:$A$20,0)),0))</f>
        <v/>
      </c>
      <c r="S100" s="44">
        <f>ROUNDUP(A100/3,0)</f>
        <v/>
      </c>
      <c r="T100" s="33">
        <f>IF('Matriz Normativa &amp; Governança'!$C$8="Alíquota plena — sensibilidade",B100*$C$17/(1+$C$17),IF(O100="",0,B100*O100/(1+O100)))</f>
        <v/>
      </c>
      <c r="U100" s="33">
        <f>E100*Q100</f>
        <v/>
      </c>
      <c r="V100" s="33">
        <f>G100*Q100</f>
        <v/>
      </c>
    </row>
    <row r="101" ht="30" customHeight="1">
      <c r="A101" s="31" t="n">
        <v>59</v>
      </c>
      <c r="B101" s="44">
        <f>IF(A101=1,$C$27*'Premissas &amp; Cenários'!$B$19,IF(A101='Premissas &amp; Cenários'!$B$18,$C$27*'Premissas &amp; Cenários'!$B$21,IF(AND(A101&gt;1,A101&lt;'Premissas &amp; Cenários'!$B$18),$C$27*'Premissas &amp; Cenários'!$B$20/'Premissas &amp; Cenários'!$B$17,0)))</f>
        <v/>
      </c>
      <c r="C101" s="33">
        <f>B101*$C$32</f>
        <v/>
      </c>
      <c r="D101" s="44">
        <f>IF('Matriz Normativa &amp; Governança'!$C$8="Alíquota plena — sensibilidade",C101*$C$17/(1+$C$17),IF(O101="","",C101*O101/(1+O101)))</f>
        <v/>
      </c>
      <c r="E101" s="44">
        <f>IF(AND(A101&gt;='Premissas &amp; Cenários'!$B$14,A101&lt;='Premissas &amp; Cenários'!$B$15),$C$20/'Premissas &amp; Cenários'!$B$17,0)</f>
        <v/>
      </c>
      <c r="F101" s="33">
        <f>E101*$C$22*Q101</f>
        <v/>
      </c>
      <c r="G101" s="44">
        <f>IFERROR('Premissas &amp; Cenários'!$B$22/'Premissas &amp; Cenários'!$B$18,0)</f>
        <v/>
      </c>
      <c r="H101" s="33">
        <f>G101*$C$23*Q101</f>
        <v/>
      </c>
      <c r="I101" s="33">
        <f>K100</f>
        <v/>
      </c>
      <c r="J101" s="33">
        <f>MAX(0,D101-F101-H101-I101)</f>
        <v/>
      </c>
      <c r="K101" s="33">
        <f>MAX(0,I101+F101+H101-D101)</f>
        <v/>
      </c>
      <c r="L101" s="33">
        <f>L100+J101</f>
        <v/>
      </c>
      <c r="M101" s="33">
        <f>SUM($D$43:D101)</f>
        <v/>
      </c>
      <c r="N101" s="44">
        <f>IF(A101&lt;=12,'Premissas &amp; Cenários'!$B$50,IF(A101&lt;=24,'Premissas &amp; Cenários'!$B$50+1,IF(A101&lt;=36,'Premissas &amp; Cenários'!$B$50+2,IF(A101&lt;=48,'Premissas &amp; Cenários'!$B$50+3,'Premissas &amp; Cenários'!$B$50+4))))</f>
        <v/>
      </c>
      <c r="O101" s="47">
        <f>IFERROR(INDEX('Transição Tributária'!$G$13:$G$20,MATCH(N101,'Transição Tributária'!$A$13:$A$20,0)),"")</f>
        <v/>
      </c>
      <c r="P101" s="48">
        <f>IF(O101="","PENDENTE",IFERROR(INDEX('Transição Tributária'!$I$13:$I$20,MATCH(N101,'Transição Tributária'!$A$13:$A$20,0)),"PENDENTE"))</f>
        <v/>
      </c>
      <c r="Q101" s="47">
        <f>IF('Matriz Normativa &amp; Governança'!$C$8="Alíquota plena — sensibilidade",1,IFERROR(INDEX('Transição Tributária'!$L$13:$L$20,MATCH(N101,'Transição Tributária'!$A$13:$A$20,0)),0))</f>
        <v/>
      </c>
      <c r="R101" s="33">
        <f>IF('Matriz Normativa &amp; Governança'!$C$8="Alíquota plena — sensibilidade",0,B101*IFERROR(INDEX('Transição Tributária'!$K$13:$K$20,MATCH(N101,'Transição Tributária'!$A$13:$A$20,0)),0))</f>
        <v/>
      </c>
      <c r="S101" s="44">
        <f>ROUNDUP(A101/3,0)</f>
        <v/>
      </c>
      <c r="T101" s="33">
        <f>IF('Matriz Normativa &amp; Governança'!$C$8="Alíquota plena — sensibilidade",B101*$C$17/(1+$C$17),IF(O101="",0,B101*O101/(1+O101)))</f>
        <v/>
      </c>
      <c r="U101" s="33">
        <f>E101*Q101</f>
        <v/>
      </c>
      <c r="V101" s="33">
        <f>G101*Q101</f>
        <v/>
      </c>
    </row>
    <row r="102" ht="30" customHeight="1" thickBot="1">
      <c r="A102" s="31" t="n">
        <v>60</v>
      </c>
      <c r="B102" s="44">
        <f>IF(A102=1,$C$27*'Premissas &amp; Cenários'!$B$19,IF(A102='Premissas &amp; Cenários'!$B$18,$C$27*'Premissas &amp; Cenários'!$B$21,IF(AND(A102&gt;1,A102&lt;'Premissas &amp; Cenários'!$B$18),$C$27*'Premissas &amp; Cenários'!$B$20/'Premissas &amp; Cenários'!$B$17,0)))</f>
        <v/>
      </c>
      <c r="C102" s="33">
        <f>B102*$C$32</f>
        <v/>
      </c>
      <c r="D102" s="44">
        <f>IF('Matriz Normativa &amp; Governança'!$C$8="Alíquota plena — sensibilidade",C102*$C$17/(1+$C$17),IF(O102="","",C102*O102/(1+O102)))</f>
        <v/>
      </c>
      <c r="E102" s="44">
        <f>IF(AND(A102&gt;='Premissas &amp; Cenários'!$B$14,A102&lt;='Premissas &amp; Cenários'!$B$15),$C$20/'Premissas &amp; Cenários'!$B$17,0)</f>
        <v/>
      </c>
      <c r="F102" s="33">
        <f>E102*$C$22*Q102</f>
        <v/>
      </c>
      <c r="G102" s="44">
        <f>IFERROR('Premissas &amp; Cenários'!$B$22/'Premissas &amp; Cenários'!$B$18,0)</f>
        <v/>
      </c>
      <c r="H102" s="33">
        <f>G102*$C$23*Q102</f>
        <v/>
      </c>
      <c r="I102" s="33">
        <f>K101</f>
        <v/>
      </c>
      <c r="J102" s="33">
        <f>MAX(0,D102-F102-H102-I102)</f>
        <v/>
      </c>
      <c r="K102" s="33">
        <f>MAX(0,I102+F102+H102-D102)</f>
        <v/>
      </c>
      <c r="L102" s="33">
        <f>L101+J102</f>
        <v/>
      </c>
      <c r="M102" s="33">
        <f>SUM($D$43:D102)</f>
        <v/>
      </c>
      <c r="N102" s="44">
        <f>IF(A102&lt;=12,'Premissas &amp; Cenários'!$B$50,IF(A102&lt;=24,'Premissas &amp; Cenários'!$B$50+1,IF(A102&lt;=36,'Premissas &amp; Cenários'!$B$50+2,IF(A102&lt;=48,'Premissas &amp; Cenários'!$B$50+3,'Premissas &amp; Cenários'!$B$50+4))))</f>
        <v/>
      </c>
      <c r="O102" s="47">
        <f>IFERROR(INDEX('Transição Tributária'!$G$13:$G$20,MATCH(N102,'Transição Tributária'!$A$13:$A$20,0)),"")</f>
        <v/>
      </c>
      <c r="P102" s="48">
        <f>IF(O102="","PENDENTE",IFERROR(INDEX('Transição Tributária'!$I$13:$I$20,MATCH(N102,'Transição Tributária'!$A$13:$A$20,0)),"PENDENTE"))</f>
        <v/>
      </c>
      <c r="Q102" s="47">
        <f>IF('Matriz Normativa &amp; Governança'!$C$8="Alíquota plena — sensibilidade",1,IFERROR(INDEX('Transição Tributária'!$L$13:$L$20,MATCH(N102,'Transição Tributária'!$A$13:$A$20,0)),0))</f>
        <v/>
      </c>
      <c r="R102" s="33">
        <f>IF('Matriz Normativa &amp; Governança'!$C$8="Alíquota plena — sensibilidade",0,B102*IFERROR(INDEX('Transição Tributária'!$K$13:$K$20,MATCH(N102,'Transição Tributária'!$A$13:$A$20,0)),0))</f>
        <v/>
      </c>
      <c r="S102" s="44">
        <f>ROUNDUP(A102/3,0)</f>
        <v/>
      </c>
      <c r="T102" s="33">
        <f>IF('Matriz Normativa &amp; Governança'!$C$8="Alíquota plena — sensibilidade",B102*$C$17/(1+$C$17),IF(O102="",0,B102*O102/(1+O102)))</f>
        <v/>
      </c>
      <c r="U102" s="33">
        <f>E102*Q102</f>
        <v/>
      </c>
      <c r="V102" s="33">
        <f>G102*Q102</f>
        <v/>
      </c>
    </row>
    <row r="103" ht="15" customHeight="1">
      <c r="A103" s="22" t="inlineStr">
        <is>
          <t>Total consolidado / saldo final</t>
        </is>
      </c>
      <c r="B103" s="49">
        <f>SUM(B43:B102)</f>
        <v/>
      </c>
      <c r="C103" s="49">
        <f>SUM(C43:C102)</f>
        <v/>
      </c>
      <c r="D103" s="49">
        <f>SUM(D43:D102)</f>
        <v/>
      </c>
      <c r="E103" s="49">
        <f>SUM(E43:E102)</f>
        <v/>
      </c>
      <c r="F103" s="49">
        <f>SUM(F43:F102)</f>
        <v/>
      </c>
      <c r="G103" s="49">
        <f>SUM(G43:G102)</f>
        <v/>
      </c>
      <c r="H103" s="49">
        <f>SUM(H43:H102)</f>
        <v/>
      </c>
      <c r="I103" s="49">
        <f>I102</f>
        <v/>
      </c>
      <c r="J103" s="49">
        <f>SUM(J43:J102)</f>
        <v/>
      </c>
      <c r="K103" s="49">
        <f>K102</f>
        <v/>
      </c>
      <c r="L103" s="49">
        <f>L102</f>
        <v/>
      </c>
      <c r="M103" s="49">
        <f>M102</f>
        <v/>
      </c>
      <c r="R103" s="49">
        <f>SUM(R43:R102)</f>
        <v/>
      </c>
      <c r="T103" s="49">
        <f>SUM(T43:T102)</f>
        <v/>
      </c>
      <c r="U103" s="49">
        <f>SUM(U43:U102)</f>
        <v/>
      </c>
      <c r="V103" s="49">
        <f>SUM(V43:V102)</f>
        <v/>
      </c>
    </row>
    <row r="104"/>
    <row r="105"/>
    <row r="106" ht="15" customHeight="1">
      <c r="A106" s="8" t="inlineStr">
        <is>
          <t>Análise de impacto financeiro: caixa versus competência</t>
        </is>
      </c>
      <c r="B106" s="9" t="n"/>
      <c r="C106" s="9" t="n"/>
      <c r="D106" s="9" t="n"/>
      <c r="E106" s="9" t="n"/>
    </row>
    <row r="107"/>
    <row r="108" ht="15" customHeight="1">
      <c r="A108" s="19" t="inlineStr">
        <is>
          <t>Imposto devido no mês 1 — competência</t>
        </is>
      </c>
      <c r="C108" s="33">
        <f>C33</f>
        <v/>
      </c>
    </row>
    <row r="109" ht="15" customHeight="1">
      <c r="A109" s="19" t="inlineStr">
        <is>
          <t>Imposto pago no mês 1 — caixa</t>
        </is>
      </c>
      <c r="C109" s="33">
        <f>J43</f>
        <v/>
      </c>
    </row>
    <row r="110" ht="15" customHeight="1">
      <c r="A110" s="10" t="inlineStr">
        <is>
          <t>Alívio de caixa no mês 1</t>
        </is>
      </c>
      <c r="C110" s="35">
        <f>C108-C109</f>
        <v/>
      </c>
    </row>
    <row r="111" ht="15" customHeight="1">
      <c r="A111" s="10" t="inlineStr">
        <is>
          <t>Imposto pago no ciclo</t>
        </is>
      </c>
      <c r="C111" s="35">
        <f>L102</f>
        <v/>
      </c>
    </row>
    <row r="112" ht="51" customHeight="1">
      <c r="A112" s="50" t="inlineStr">
        <is>
          <t>Check liquidação do IVA: débito menos créditos menos caixa mais saldo credor</t>
        </is>
      </c>
      <c r="C112" s="46">
        <f>IF(C33="","",C33-C36-C111+K102)</f>
        <v/>
      </c>
    </row>
    <row r="113" ht="15" customHeight="1">
      <c r="A113" s="10" t="inlineStr">
        <is>
          <t>Check recebimentos versus VGV tributável</t>
        </is>
      </c>
      <c r="C113" s="35">
        <f>B103-C27</f>
        <v/>
      </c>
    </row>
  </sheetData>
  <conditionalFormatting sqref="C39">
    <cfRule type="cellIs" priority="2" operator="equal" dxfId="1">
      <formula>0</formula>
    </cfRule>
    <cfRule type="cellIs" priority="3" operator="notEqual" dxfId="0">
      <formula>0</formula>
    </cfRule>
  </conditionalFormatting>
  <conditionalFormatting sqref="C112:C113">
    <cfRule type="cellIs" priority="4" operator="equal" dxfId="1">
      <formula>0</formula>
    </cfRule>
    <cfRule type="cellIs" priority="5" operator="notEqual" dxfId="0">
      <formula>0</formula>
    </cfRule>
  </conditionalFormatting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showGridLines="0" topLeftCell="A29" zoomScale="80" zoomScaleNormal="80" workbookViewId="0">
      <selection activeCell="D42" sqref="D42"/>
    </sheetView>
  </sheetViews>
  <sheetFormatPr baseColWidth="8" defaultColWidth="8.5703125" defaultRowHeight="15"/>
  <cols>
    <col width="31.85546875" customWidth="1" min="1" max="1"/>
    <col width="44" customWidth="1" min="2" max="6"/>
    <col width="21" customWidth="1" min="7" max="7"/>
  </cols>
  <sheetData>
    <row r="1" ht="20.25" customHeight="1">
      <c r="B1" s="1" t="inlineStr">
        <is>
          <t>DRE Empreendimento</t>
        </is>
      </c>
      <c r="C1" s="2" t="n"/>
      <c r="D1" s="2" t="n"/>
      <c r="E1" s="2" t="n"/>
      <c r="F1" s="2" t="n"/>
      <c r="G1" s="2" t="n"/>
    </row>
    <row r="2"/>
    <row r="3">
      <c r="B3" s="96" t="inlineStr">
        <is>
          <t>Demonstração do resultado por cenário e DRE ativa anualizada em cinco anos.</t>
        </is>
      </c>
    </row>
    <row r="4">
      <c r="B4" s="97" t="inlineStr">
        <is>
          <t>Valores em R$ nominais; a coluna de descrição mantém a rastreabilidade às premissas e fundamentos fornecidos.</t>
        </is>
      </c>
    </row>
    <row r="5"/>
    <row r="6" ht="16.5" customHeight="1" thickBot="1">
      <c r="A6" s="8" t="inlineStr">
        <is>
          <t>DRE consolidada por cenário</t>
        </is>
      </c>
      <c r="B6" s="134">
        <f>"Todas as colunas no modo: "&amp;'Matriz Normativa &amp; Governança'!$C$8&amp;" (selecionado na aba Matriz Normativa &amp; Governança)"</f>
        <v/>
      </c>
      <c r="C6" s="9" t="n"/>
      <c r="D6" s="9" t="n"/>
      <c r="E6" s="9" t="n"/>
      <c r="F6" s="9" t="n"/>
    </row>
    <row r="7" ht="26.25" customHeight="1" thickBot="1">
      <c r="A7" s="18" t="inlineStr">
        <is>
          <t>Rubrica</t>
        </is>
      </c>
      <c r="B7" s="18" t="inlineStr">
        <is>
          <t>Otimista</t>
        </is>
      </c>
      <c r="C7" s="18" t="inlineStr">
        <is>
          <t>Base</t>
        </is>
      </c>
      <c r="D7" s="18" t="inlineStr">
        <is>
          <t>Pessimista</t>
        </is>
      </c>
      <c r="E7" s="18" t="inlineStr">
        <is>
          <t>Ativo</t>
        </is>
      </c>
      <c r="F7" s="18" t="inlineStr">
        <is>
          <t>Descrição de cálculo e fundamentação normativa</t>
        </is>
      </c>
    </row>
    <row r="8" ht="25.5" customHeight="1">
      <c r="A8" s="19" t="inlineStr">
        <is>
          <t>Receita bruta — VGV de vendas real</t>
        </is>
      </c>
      <c r="B8" s="21">
        <f>'Premissas &amp; Cenários'!$B$60</f>
        <v/>
      </c>
      <c r="C8" s="21">
        <f>'Premissas &amp; Cenários'!$C$60</f>
        <v/>
      </c>
      <c r="D8" s="21">
        <f>'Premissas &amp; Cenários'!$D$60</f>
        <v/>
      </c>
      <c r="E8" s="51">
        <f>Fluxo_Incorporacao!$C$27</f>
        <v/>
      </c>
      <c r="F8" s="27" t="inlineStr">
        <is>
          <t>VGV de vendas real tributável (VGV menos permuta física, que só é tributada na torna — art. 252, §2º); regime de caixa (art. 262).</t>
        </is>
      </c>
    </row>
    <row r="9" ht="25.5" customHeight="1">
      <c r="A9" s="19" t="inlineStr">
        <is>
          <t>Deduções de receita — IBS + CBS (e PIS/Cofins de 2026 no modo transição)</t>
        </is>
      </c>
      <c r="B9" s="21">
        <f>'Premissas &amp; Cenários'!B68+Fluxo_Incorporacao!$R$103</f>
        <v/>
      </c>
      <c r="C9" s="21">
        <f>'Premissas &amp; Cenários'!C68+Fluxo_Incorporacao!$R$103</f>
        <v/>
      </c>
      <c r="D9" s="21">
        <f>'Premissas &amp; Cenários'!D68+Fluxo_Incorporacao!$R$103</f>
        <v/>
      </c>
      <c r="E9" s="51">
        <f>IF(Fluxo_Incorporacao!$C$33="","",Fluxo_Incorporacao!$C$33+Fluxo_Incorporacao!$R$103)</f>
        <v/>
      </c>
      <c r="F9" s="27" t="inlineStr">
        <is>
          <t>Débito após RAJ e redutor social (arts. 257 a 260), com tributo embutido no preço; inclui PIS/Cofins de 2026 no modo transição.</t>
        </is>
      </c>
    </row>
    <row r="10" ht="25.5" customHeight="1">
      <c r="A10" s="52" t="inlineStr">
        <is>
          <t>Receita operacional líquida</t>
        </is>
      </c>
      <c r="B10" s="53">
        <f>B8-B9</f>
        <v/>
      </c>
      <c r="C10" s="53">
        <f>C8-C9</f>
        <v/>
      </c>
      <c r="D10" s="53">
        <f>D8-D9</f>
        <v/>
      </c>
      <c r="E10" s="54">
        <f>IF(E9="","",E8-E9)</f>
        <v/>
      </c>
      <c r="F10" s="55" t="inlineStr">
        <is>
          <t>Receita bruta menos o débito de IBS + CBS sobre vendas.</t>
        </is>
      </c>
    </row>
    <row r="11">
      <c r="A11" s="19" t="inlineStr">
        <is>
          <t>Custo de obra bruto</t>
        </is>
      </c>
      <c r="B11" s="21">
        <f>'Premissas &amp; Cenários'!$B$58</f>
        <v/>
      </c>
      <c r="C11" s="21">
        <f>'Premissas &amp; Cenários'!$C$58</f>
        <v/>
      </c>
      <c r="D11" s="21">
        <f>'Premissas &amp; Cenários'!$D$58</f>
        <v/>
      </c>
      <c r="E11" s="51">
        <f>Fluxo_Incorporacao!$C$20</f>
        <v/>
      </c>
      <c r="F11" s="27" t="inlineStr">
        <is>
          <t>Custo total de obra informado para o cenário.</t>
        </is>
      </c>
    </row>
    <row r="12" ht="25.5" customHeight="1">
      <c r="A12" s="19" t="inlineStr">
        <is>
          <t>Créditos de IBS + CBS sobre construção</t>
        </is>
      </c>
      <c r="B12" s="21">
        <f>'Premissas &amp; Cenários'!$B$69</f>
        <v/>
      </c>
      <c r="C12" s="21">
        <f>'Premissas &amp; Cenários'!$C$69</f>
        <v/>
      </c>
      <c r="D12" s="21">
        <f>'Premissas &amp; Cenários'!$D$69</f>
        <v/>
      </c>
      <c r="E12" s="51">
        <f>Fluxo_Incorporacao!$C$34</f>
        <v/>
      </c>
      <c r="F12" s="27" t="inlineStr">
        <is>
          <t>Crédito por composição do custo: folha sem crédito, materiais à alíquota padrão e serviços de construção à alíquota reduzida (arts. 47 e 261).</t>
        </is>
      </c>
    </row>
    <row r="13" ht="25.5" customHeight="1">
      <c r="A13" s="52" t="inlineStr">
        <is>
          <t>Custo do empreendimento líquido</t>
        </is>
      </c>
      <c r="B13" s="53">
        <f>B11-B12</f>
        <v/>
      </c>
      <c r="C13" s="53">
        <f>C11-C12</f>
        <v/>
      </c>
      <c r="D13" s="53">
        <f>D11-D12</f>
        <v/>
      </c>
      <c r="E13" s="56">
        <f>E11-E12</f>
        <v/>
      </c>
      <c r="F13" s="55" t="inlineStr">
        <is>
          <t>Custo de obra bruto menos créditos apropriáveis de construção.</t>
        </is>
      </c>
    </row>
    <row r="14" ht="25.5" customHeight="1">
      <c r="A14" s="52" t="inlineStr">
        <is>
          <t>Lucro bruto do projeto</t>
        </is>
      </c>
      <c r="B14" s="53">
        <f>B10-B13</f>
        <v/>
      </c>
      <c r="C14" s="53">
        <f>C10-C13</f>
        <v/>
      </c>
      <c r="D14" s="53">
        <f>D10-D13</f>
        <v/>
      </c>
      <c r="E14" s="54">
        <f>IF(E10="","",E10-E13)</f>
        <v/>
      </c>
      <c r="F14" s="55" t="inlineStr">
        <is>
          <t>Receita operacional líquida menos custo do empreendimento líquido.</t>
        </is>
      </c>
    </row>
    <row r="15">
      <c r="E15" s="57" t="n"/>
    </row>
    <row r="16" ht="38.25" customHeight="1">
      <c r="A16" s="19" t="inlineStr">
        <is>
          <t>Projetos e engenharia</t>
        </is>
      </c>
      <c r="B16" s="21">
        <f>'Premissas &amp; Cenários'!$B$24</f>
        <v/>
      </c>
      <c r="C16" s="21">
        <f>'Premissas &amp; Cenários'!$B$24</f>
        <v/>
      </c>
      <c r="D16" s="21">
        <f>'Premissas &amp; Cenários'!$B$24</f>
        <v/>
      </c>
      <c r="E16" s="58">
        <f>IFERROR(INDEX($B$16:$D$16,1,MATCH(Fluxo_Incorporacao!$C$6,$B$7:$D$7,0)),0)</f>
        <v/>
      </c>
      <c r="F16" s="27" t="inlineStr">
        <is>
          <t>Despesa informada; profissão intelectual regulamentada, crédito com redução de 30% (art. 127).</t>
        </is>
      </c>
    </row>
    <row r="17" ht="25.5" customHeight="1">
      <c r="A17" s="19" t="inlineStr">
        <is>
          <t>Marketing e comercialização</t>
        </is>
      </c>
      <c r="B17" s="21">
        <f>'Premissas &amp; Cenários'!$B$25</f>
        <v/>
      </c>
      <c r="C17" s="21">
        <f>'Premissas &amp; Cenários'!$B$25</f>
        <v/>
      </c>
      <c r="D17" s="21">
        <f>'Premissas &amp; Cenários'!$B$25</f>
        <v/>
      </c>
      <c r="E17" s="58">
        <f>IFERROR(INDEX($B$17:$D$17,1,MATCH(Fluxo_Incorporacao!$C$6,$B$7:$D$7,0)),0)</f>
        <v/>
      </c>
      <c r="F17" s="27" t="inlineStr">
        <is>
          <t>Despesa informada; crédito à alíquota padrão sobre a parcela com fornecedor regular.</t>
        </is>
      </c>
    </row>
    <row r="18" ht="25.5" customHeight="1">
      <c r="A18" s="19" t="inlineStr">
        <is>
          <t>Comissões de corretagem</t>
        </is>
      </c>
      <c r="B18" s="21">
        <f>'Premissas &amp; Cenários'!$B$26</f>
        <v/>
      </c>
      <c r="C18" s="21">
        <f>'Premissas &amp; Cenários'!$B$26</f>
        <v/>
      </c>
      <c r="D18" s="21">
        <f>'Premissas &amp; Cenários'!$B$26</f>
        <v/>
      </c>
      <c r="E18" s="58">
        <f>IFERROR(INDEX($B$18:$D$18,1,MATCH(Fluxo_Incorporacao!$C$6,$B$7:$D$7,0)),0)</f>
        <v/>
      </c>
      <c r="F18" s="27" t="inlineStr">
        <is>
          <t>Despesa informada; intermediação imobiliária com redução de 50% (art. 261).</t>
        </is>
      </c>
    </row>
    <row r="19" ht="25.5" customHeight="1">
      <c r="A19" s="19" t="inlineStr">
        <is>
          <t>Administração central</t>
        </is>
      </c>
      <c r="B19" s="21">
        <f>'Premissas &amp; Cenários'!$B$27</f>
        <v/>
      </c>
      <c r="C19" s="21">
        <f>'Premissas &amp; Cenários'!$B$27</f>
        <v/>
      </c>
      <c r="D19" s="21">
        <f>'Premissas &amp; Cenários'!$B$27</f>
        <v/>
      </c>
      <c r="E19" s="58">
        <f>IFERROR(INDEX($B$19:$D$19,1,MATCH(Fluxo_Incorporacao!$C$6,$B$7:$D$7,0)),0)</f>
        <v/>
      </c>
      <c r="F19" s="27" t="inlineStr">
        <is>
          <t>Despesa informada; predominantemente folha, crédito só sobre a parcela de serviços de terceiros.</t>
        </is>
      </c>
    </row>
    <row r="20" ht="38.25" customHeight="1">
      <c r="A20" s="19" t="inlineStr">
        <is>
          <t>Serviços jurídicos e cartórios</t>
        </is>
      </c>
      <c r="B20" s="21">
        <f>'Premissas &amp; Cenários'!$B$28</f>
        <v/>
      </c>
      <c r="C20" s="21">
        <f>'Premissas &amp; Cenários'!$B$28</f>
        <v/>
      </c>
      <c r="D20" s="21">
        <f>'Premissas &amp; Cenários'!$B$28</f>
        <v/>
      </c>
      <c r="E20" s="58">
        <f>IFERROR(INDEX($B$20:$D$20,1,MATCH(Fluxo_Incorporacao!$C$6,$B$7:$D$7,0)),0)</f>
        <v/>
      </c>
      <c r="F20" s="27" t="inlineStr">
        <is>
          <t>Despesa informada; advocacia com redução de 30% (art. 127); validar emolumentos.</t>
        </is>
      </c>
    </row>
    <row r="21" ht="38.25" customHeight="1">
      <c r="A21" s="19" t="inlineStr">
        <is>
          <t>Créditos de IBS + CBS sobre despesas</t>
        </is>
      </c>
      <c r="B21" s="21">
        <f>'Premissas &amp; Cenários'!$B$71</f>
        <v/>
      </c>
      <c r="C21" s="21">
        <f>'Premissas &amp; Cenários'!$C$71</f>
        <v/>
      </c>
      <c r="D21" s="21">
        <f>'Premissas &amp; Cenários'!$D$71</f>
        <v/>
      </c>
      <c r="E21" s="51">
        <f>Fluxo_Incorporacao!$C$35</f>
        <v/>
      </c>
      <c r="F21" s="27" t="inlineStr">
        <is>
          <t>Crédito por categoria: alíquota do fornecedor × parcela da base com crédito (Premissas, linhas 97 a 101).</t>
        </is>
      </c>
    </row>
    <row r="22" ht="26.25" customHeight="1" thickBot="1">
      <c r="A22" s="52" t="inlineStr">
        <is>
          <t>Despesas operacionais e de vendas líquidas</t>
        </is>
      </c>
      <c r="B22" s="53">
        <f>SUM(B16:B20)-B21</f>
        <v/>
      </c>
      <c r="C22" s="53">
        <f>SUM(C16:C20)-C21</f>
        <v/>
      </c>
      <c r="D22" s="53">
        <f>SUM(D16:D20)-D21</f>
        <v/>
      </c>
      <c r="E22" s="56">
        <f>SUM(E16:E20)-E21</f>
        <v/>
      </c>
      <c r="F22" s="55" t="inlineStr">
        <is>
          <t>Despesas brutas menos créditos de IBS + CBS sobre despesas.</t>
        </is>
      </c>
    </row>
    <row r="23" ht="25.5" customHeight="1">
      <c r="A23" s="22" t="inlineStr">
        <is>
          <t>EBITDA / resultado operacional</t>
        </is>
      </c>
      <c r="B23" s="49">
        <f>B14-B22</f>
        <v/>
      </c>
      <c r="C23" s="49">
        <f>C14-C22</f>
        <v/>
      </c>
      <c r="D23" s="49">
        <f>D14-D22</f>
        <v/>
      </c>
      <c r="E23" s="59">
        <f>IF(E14="","",E14-E22)</f>
        <v/>
      </c>
      <c r="F23" s="60" t="inlineStr">
        <is>
          <t>Lucro bruto do projeto menos despesas operacionais e de vendas líquidas.</t>
        </is>
      </c>
    </row>
    <row r="24">
      <c r="E24" s="57" t="n"/>
    </row>
    <row r="25" ht="25.5" customHeight="1">
      <c r="A25" s="19" t="inlineStr">
        <is>
          <t>Base de presunção IRPJ (com LC 224)</t>
        </is>
      </c>
      <c r="B25" s="135">
        <f>'IRPJ_CSLL Trimestral'!$I$27</f>
        <v/>
      </c>
      <c r="C25" s="135">
        <f>'IRPJ_CSLL Trimestral'!$I$27</f>
        <v/>
      </c>
      <c r="D25" s="135">
        <f>'IRPJ_CSLL Trimestral'!$I$27</f>
        <v/>
      </c>
      <c r="E25" s="136">
        <f>'IRPJ_CSLL Trimestral'!$I$27</f>
        <v/>
      </c>
      <c r="F25" s="27" t="inlineStr">
        <is>
          <t>Soma das bases trimestrais: 8% da receita + 10% de acréscimo sobre o excedente da LC 224.</t>
        </is>
      </c>
    </row>
    <row r="26" ht="25.5" customHeight="1">
      <c r="A26" s="19" t="inlineStr">
        <is>
          <t>IRPJ básico</t>
        </is>
      </c>
      <c r="B26" s="135">
        <f>'IRPJ_CSLL Trimestral'!$J$27</f>
        <v/>
      </c>
      <c r="C26" s="135">
        <f>'IRPJ_CSLL Trimestral'!$J$27</f>
        <v/>
      </c>
      <c r="D26" s="135">
        <f>'IRPJ_CSLL Trimestral'!$J$27</f>
        <v/>
      </c>
      <c r="E26" s="136">
        <f>'IRPJ_CSLL Trimestral'!$J$27</f>
        <v/>
      </c>
      <c r="F26" s="27" t="inlineStr">
        <is>
          <t>15% sobre a base de cada trimestre.</t>
        </is>
      </c>
    </row>
    <row r="27" ht="25.5" customHeight="1">
      <c r="A27" s="19" t="inlineStr">
        <is>
          <t>IRPJ adicional</t>
        </is>
      </c>
      <c r="B27" s="137">
        <f>'IRPJ_CSLL Trimestral'!$K$27</f>
        <v/>
      </c>
      <c r="C27" s="137">
        <f>'IRPJ_CSLL Trimestral'!$K$27</f>
        <v/>
      </c>
      <c r="D27" s="137">
        <f>'IRPJ_CSLL Trimestral'!$K$27</f>
        <v/>
      </c>
      <c r="E27" s="138">
        <f>'IRPJ_CSLL Trimestral'!$K$27</f>
        <v/>
      </c>
      <c r="F27" s="27" t="inlineStr">
        <is>
          <t>10% sobre a base que excede R$ 60 mil por trimestre.</t>
        </is>
      </c>
    </row>
    <row r="28" ht="25.5" customHeight="1">
      <c r="A28" s="19" t="inlineStr">
        <is>
          <t>Base de presunção CSLL (com LC 224)</t>
        </is>
      </c>
      <c r="B28" s="135">
        <f>'IRPJ_CSLL Trimestral'!$L$27</f>
        <v/>
      </c>
      <c r="C28" s="135">
        <f>'IRPJ_CSLL Trimestral'!$L$27</f>
        <v/>
      </c>
      <c r="D28" s="135">
        <f>'IRPJ_CSLL Trimestral'!$L$27</f>
        <v/>
      </c>
      <c r="E28" s="136">
        <f>'IRPJ_CSLL Trimestral'!$L$27</f>
        <v/>
      </c>
      <c r="F28" s="27" t="inlineStr">
        <is>
          <t>Soma das bases trimestrais: 12% da receita + 10% de acréscimo sobre o excedente (a partir do 2º tri/2026).</t>
        </is>
      </c>
    </row>
    <row r="29" ht="25.5" customHeight="1">
      <c r="A29" s="19" t="inlineStr">
        <is>
          <t>CSLL</t>
        </is>
      </c>
      <c r="B29" s="135">
        <f>'IRPJ_CSLL Trimestral'!$M$27</f>
        <v/>
      </c>
      <c r="C29" s="135">
        <f>'IRPJ_CSLL Trimestral'!$M$27</f>
        <v/>
      </c>
      <c r="D29" s="135">
        <f>'IRPJ_CSLL Trimestral'!$M$27</f>
        <v/>
      </c>
      <c r="E29" s="136">
        <f>'IRPJ_CSLL Trimestral'!$M$27</f>
        <v/>
      </c>
      <c r="F29" s="27" t="inlineStr">
        <is>
          <t>9% sobre a base de cada trimestre.</t>
        </is>
      </c>
    </row>
    <row r="30" ht="15.75" customHeight="1" thickBot="1">
      <c r="A30" s="52" t="inlineStr">
        <is>
          <t>Total IRPJ e CSLL</t>
        </is>
      </c>
      <c r="B30" s="53">
        <f>B26+B27+B29</f>
        <v/>
      </c>
      <c r="C30" s="53">
        <f>C26+C27+C29</f>
        <v/>
      </c>
      <c r="D30" s="53">
        <f>D26+D27+D29</f>
        <v/>
      </c>
      <c r="E30" s="56">
        <f>E26+E27+E29</f>
        <v/>
      </c>
      <c r="F30" s="55" t="inlineStr">
        <is>
          <t>Soma do IRPJ básico, IRPJ adicional e CSLL.</t>
        </is>
      </c>
    </row>
    <row r="31" ht="15.75" customHeight="1" thickBot="1">
      <c r="A31" s="24" t="inlineStr">
        <is>
          <t>Lucro líquido do empreendimento — SPE</t>
        </is>
      </c>
      <c r="B31" s="61">
        <f>B23-B30</f>
        <v/>
      </c>
      <c r="C31" s="61">
        <f>C23-C30</f>
        <v/>
      </c>
      <c r="D31" s="61">
        <f>D23-D30</f>
        <v/>
      </c>
      <c r="E31" s="62">
        <f>IF(E23="","",E23-E30)</f>
        <v/>
      </c>
      <c r="F31" s="63" t="inlineStr">
        <is>
          <t>EBITDA menos IRPJ e CSLL.</t>
        </is>
      </c>
    </row>
    <row r="32" ht="26.25" customHeight="1" thickTop="1">
      <c r="A32" s="64" t="inlineStr">
        <is>
          <t>Margem líquida final</t>
        </is>
      </c>
      <c r="B32" s="65">
        <f>IFERROR(B31/B8,0)</f>
        <v/>
      </c>
      <c r="C32" s="65">
        <f>IFERROR(C31/C8,0)</f>
        <v/>
      </c>
      <c r="D32" s="65">
        <f>IFERROR(D31/D8,0)</f>
        <v/>
      </c>
      <c r="E32" s="66">
        <f>IFERROR(E31/E8,0)</f>
        <v/>
      </c>
      <c r="F32" s="55" t="inlineStr">
        <is>
          <t>Lucro líquido dividido pela receita bruta, protegido por IFERROR.</t>
        </is>
      </c>
    </row>
    <row r="33" ht="39" customHeight="1" thickBot="1">
      <c r="A33" s="67" t="inlineStr">
        <is>
          <t>Check DRE</t>
        </is>
      </c>
      <c r="B33" s="68">
        <f>B10-B13-B22-B30-B31</f>
        <v/>
      </c>
      <c r="C33" s="68">
        <f>C10-C13-C22-C30-C31</f>
        <v/>
      </c>
      <c r="D33" s="68">
        <f>D10-D13-D22-D30-D31</f>
        <v/>
      </c>
      <c r="E33" s="69">
        <f>IF(E10="","",E10-E13-E22-E30-E31)</f>
        <v/>
      </c>
      <c r="F33" s="70" t="inlineStr">
        <is>
          <t>Receita líquida menos custos líquidos, despesas líquidas, tributos sobre renda e lucro líquido; deve ser zero.</t>
        </is>
      </c>
    </row>
    <row r="34" ht="15.75" customHeight="1" thickTop="1">
      <c r="E34" s="57" t="n"/>
    </row>
    <row r="35">
      <c r="E35" s="57" t="n"/>
    </row>
    <row r="36" ht="16.5" customHeight="1" thickBot="1">
      <c r="A36" s="8" t="inlineStr">
        <is>
          <t>Conta corrente de créditos e liquidação de IVA</t>
        </is>
      </c>
      <c r="B36" s="9" t="n"/>
      <c r="C36" s="9" t="n"/>
      <c r="D36" s="9" t="n"/>
      <c r="E36" s="9" t="n"/>
      <c r="F36" s="9" t="n"/>
    </row>
    <row r="37" ht="15.75" customHeight="1" thickBot="1">
      <c r="A37" s="18" t="inlineStr">
        <is>
          <t>Rubrica</t>
        </is>
      </c>
      <c r="B37" s="18" t="inlineStr">
        <is>
          <t>Otimista</t>
        </is>
      </c>
      <c r="C37" s="18" t="inlineStr">
        <is>
          <t>Base</t>
        </is>
      </c>
      <c r="D37" s="18" t="inlineStr">
        <is>
          <t>Pessimista</t>
        </is>
      </c>
      <c r="E37" s="18" t="inlineStr">
        <is>
          <t>Ativo</t>
        </is>
      </c>
      <c r="F37" s="18" t="inlineStr">
        <is>
          <t>Descrição</t>
        </is>
      </c>
    </row>
    <row r="38">
      <c r="A38" s="19" t="inlineStr">
        <is>
          <t>Total de débito IBS + CBS</t>
        </is>
      </c>
      <c r="B38" s="21">
        <f>'Premissas &amp; Cenários'!$B$68</f>
        <v/>
      </c>
      <c r="C38" s="21">
        <f>'Premissas &amp; Cenários'!$C$68</f>
        <v/>
      </c>
      <c r="D38" s="21">
        <f>'Premissas &amp; Cenários'!$D$68</f>
        <v/>
      </c>
      <c r="E38" s="71">
        <f>Fluxo_Incorporacao!$C$33</f>
        <v/>
      </c>
      <c r="F38" s="27" t="inlineStr">
        <is>
          <t>Débito total sobre vendas.</t>
        </is>
      </c>
    </row>
    <row r="39" ht="15.75" customHeight="1" thickBot="1">
      <c r="A39" s="19" t="inlineStr">
        <is>
          <t>Total de créditos: obra + despesas</t>
        </is>
      </c>
      <c r="B39" s="21">
        <f>'Premissas &amp; Cenários'!$B$72</f>
        <v/>
      </c>
      <c r="C39" s="21">
        <f>'Premissas &amp; Cenários'!$C$72</f>
        <v/>
      </c>
      <c r="D39" s="21">
        <f>'Premissas &amp; Cenários'!$D$72</f>
        <v/>
      </c>
      <c r="E39" s="71">
        <f>Fluxo_Incorporacao!$C$36</f>
        <v/>
      </c>
      <c r="F39" s="27" t="inlineStr">
        <is>
          <t>Créditos apropriáveis do projeto.</t>
        </is>
      </c>
    </row>
    <row r="40" ht="15.75" customHeight="1" thickBot="1">
      <c r="A40" s="22" t="inlineStr">
        <is>
          <t>Saldo líquido do IVA do projeto</t>
        </is>
      </c>
      <c r="B40" s="49">
        <f>B39-B38</f>
        <v/>
      </c>
      <c r="C40" s="49">
        <f>C39-C38</f>
        <v/>
      </c>
      <c r="D40" s="49">
        <f>D39-D38</f>
        <v/>
      </c>
      <c r="E40" s="72">
        <f>E39-E38</f>
        <v/>
      </c>
      <c r="F40" s="60" t="inlineStr">
        <is>
          <t>Créditos menos débitos.</t>
        </is>
      </c>
    </row>
    <row r="41">
      <c r="A41" s="22" t="inlineStr">
        <is>
          <t>Imposto líquido a pagar</t>
        </is>
      </c>
      <c r="B41" s="23">
        <f>'Premissas &amp; Cenários'!$B$73</f>
        <v/>
      </c>
      <c r="C41" s="23">
        <f>'Premissas &amp; Cenários'!$C$73</f>
        <v/>
      </c>
      <c r="D41" s="23">
        <f>'Premissas &amp; Cenários'!$D$73</f>
        <v/>
      </c>
      <c r="E41" s="73">
        <f>Fluxo_Incorporacao!$C$38</f>
        <v/>
      </c>
      <c r="F41" s="60" t="inlineStr">
        <is>
          <t>Débito menos créditos, limitado a zero.</t>
        </is>
      </c>
    </row>
    <row r="42">
      <c r="A42" s="52" t="inlineStr">
        <is>
          <t>Saldo credor final</t>
        </is>
      </c>
      <c r="B42" s="74">
        <f>'Premissas &amp; Cenários'!$B$74</f>
        <v/>
      </c>
      <c r="C42" s="74">
        <f>'Premissas &amp; Cenários'!$C$74</f>
        <v/>
      </c>
      <c r="D42" s="74">
        <f>'Premissas &amp; Cenários'!$D$74</f>
        <v/>
      </c>
      <c r="E42" s="75">
        <f>Fluxo_Incorporacao!$C$37</f>
        <v/>
      </c>
      <c r="F42" s="55" t="inlineStr">
        <is>
          <t>Créditos excedentes ao débito.</t>
        </is>
      </c>
    </row>
    <row r="43" ht="26.25" customHeight="1" thickBot="1">
      <c r="A43" s="67" t="inlineStr">
        <is>
          <t>Check IVA</t>
        </is>
      </c>
      <c r="B43" s="68">
        <f>B38-B39-B41+B42</f>
        <v/>
      </c>
      <c r="C43" s="68">
        <f>C38-C39-C41+C42</f>
        <v/>
      </c>
      <c r="D43" s="68">
        <f>D38-D39-D41+D42</f>
        <v/>
      </c>
      <c r="E43" s="69">
        <f>IF(E38="","",E38-E39-E41+E42)</f>
        <v/>
      </c>
      <c r="F43" s="70" t="inlineStr">
        <is>
          <t>Débito menos créditos, imposto a pagar e saldo credor; deve ser zero.</t>
        </is>
      </c>
    </row>
    <row r="44" ht="15.75" customHeight="1" thickTop="1">
      <c r="E44" s="57" t="n"/>
    </row>
    <row r="45">
      <c r="E45" s="57" t="n"/>
    </row>
    <row r="46" ht="16.5" customHeight="1" thickBot="1">
      <c r="A46" s="8" t="inlineStr">
        <is>
          <t>DRE ativa anualizada — cinco anos</t>
        </is>
      </c>
      <c r="B46" s="9" t="n"/>
      <c r="C46" s="9" t="n"/>
      <c r="D46" s="9" t="n"/>
      <c r="E46" s="9" t="n"/>
      <c r="F46" s="9" t="n"/>
      <c r="G46" s="9" t="n"/>
    </row>
    <row r="47" ht="15.75" customHeight="1" thickBot="1">
      <c r="A47" s="18" t="inlineStr">
        <is>
          <t>Rubrica</t>
        </is>
      </c>
      <c r="B47" s="76">
        <f>'Premissas &amp; Cenários'!$B$50</f>
        <v/>
      </c>
      <c r="C47" s="76">
        <f>B47+1</f>
        <v/>
      </c>
      <c r="D47" s="76">
        <f>C47+1</f>
        <v/>
      </c>
      <c r="E47" s="76">
        <f>D47+1</f>
        <v/>
      </c>
      <c r="F47" s="76">
        <f>E47+1</f>
        <v/>
      </c>
      <c r="G47" s="18" t="inlineStr">
        <is>
          <t>Total</t>
        </is>
      </c>
    </row>
    <row r="48">
      <c r="A48" s="19" t="inlineStr">
        <is>
          <t>Receita bruta — recebimentos</t>
        </is>
      </c>
      <c r="B48" s="44">
        <f>IFERROR(SUMIFS(Fluxo_Incorporacao!$B$43:$B$102,Fluxo_Incorporacao!$N$43:$N$102,B$47),0)</f>
        <v/>
      </c>
      <c r="C48" s="44">
        <f>IFERROR(SUMIFS(Fluxo_Incorporacao!$B$43:$B$102,Fluxo_Incorporacao!$N$43:$N$102,C$47),0)</f>
        <v/>
      </c>
      <c r="D48" s="44">
        <f>IFERROR(SUMIFS(Fluxo_Incorporacao!$B$43:$B$102,Fluxo_Incorporacao!$N$43:$N$102,D$47),0)</f>
        <v/>
      </c>
      <c r="E48" s="58">
        <f>IFERROR(SUMIFS(Fluxo_Incorporacao!$B$43:$B$102,Fluxo_Incorporacao!$N$43:$N$102,E$47),0)</f>
        <v/>
      </c>
      <c r="F48" s="44">
        <f>IFERROR(SUMIFS(Fluxo_Incorporacao!$B$43:$B$102,Fluxo_Incorporacao!$N$43:$N$102,F$47),0)</f>
        <v/>
      </c>
      <c r="G48" s="33">
        <f>SUM(B48:F48)</f>
        <v/>
      </c>
    </row>
    <row r="49">
      <c r="A49" s="19" t="inlineStr">
        <is>
          <t>Deduções — IBS + CBS e PIS/Cofins</t>
        </is>
      </c>
      <c r="B49" s="44">
        <f>IFERROR(SUMIFS(Fluxo_Incorporacao!$D$43:$D$102,Fluxo_Incorporacao!$N$43:$N$102,B$47),0)+IFERROR(SUMIFS(Fluxo_Incorporacao!$R$43:$R$102,Fluxo_Incorporacao!$N$43:$N$102,B$47),0)</f>
        <v/>
      </c>
      <c r="C49" s="44">
        <f>IFERROR(SUMIFS(Fluxo_Incorporacao!$D$43:$D$102,Fluxo_Incorporacao!$N$43:$N$102,C$47),0)+IFERROR(SUMIFS(Fluxo_Incorporacao!$R$43:$R$102,Fluxo_Incorporacao!$N$43:$N$102,C$47),0)</f>
        <v/>
      </c>
      <c r="D49" s="44">
        <f>IFERROR(SUMIFS(Fluxo_Incorporacao!$D$43:$D$102,Fluxo_Incorporacao!$N$43:$N$102,D$47),0)+IFERROR(SUMIFS(Fluxo_Incorporacao!$R$43:$R$102,Fluxo_Incorporacao!$N$43:$N$102,D$47),0)</f>
        <v/>
      </c>
      <c r="E49" s="58">
        <f>IFERROR(SUMIFS(Fluxo_Incorporacao!$D$43:$D$102,Fluxo_Incorporacao!$N$43:$N$102,E$47),0)+IFERROR(SUMIFS(Fluxo_Incorporacao!$R$43:$R$102,Fluxo_Incorporacao!$N$43:$N$102,E$47),0)</f>
        <v/>
      </c>
      <c r="F49" s="44">
        <f>IFERROR(SUMIFS(Fluxo_Incorporacao!$D$43:$D$102,Fluxo_Incorporacao!$N$43:$N$102,F$47),0)+IFERROR(SUMIFS(Fluxo_Incorporacao!$R$43:$R$102,Fluxo_Incorporacao!$N$43:$N$102,F$47),0)</f>
        <v/>
      </c>
      <c r="G49" s="33">
        <f>SUM(B49:F49)</f>
        <v/>
      </c>
    </row>
    <row r="50">
      <c r="A50" s="52" t="inlineStr">
        <is>
          <t>Receita operacional líquida</t>
        </is>
      </c>
      <c r="B50" s="53">
        <f>B48-B49</f>
        <v/>
      </c>
      <c r="C50" s="53">
        <f>C48-C49</f>
        <v/>
      </c>
      <c r="D50" s="53">
        <f>D48-D49</f>
        <v/>
      </c>
      <c r="E50" s="56">
        <f>E48-E49</f>
        <v/>
      </c>
      <c r="F50" s="53">
        <f>F48-F49</f>
        <v/>
      </c>
      <c r="G50" s="53">
        <f>SUM(B50:F50)</f>
        <v/>
      </c>
    </row>
    <row r="51">
      <c r="A51" s="19" t="inlineStr">
        <is>
          <t>Custo de obra bruto</t>
        </is>
      </c>
      <c r="B51" s="44">
        <f>IFERROR(SUMIFS(Fluxo_Incorporacao!$E$43:$E$102,Fluxo_Incorporacao!$N$43:$N$102,B$47),0)</f>
        <v/>
      </c>
      <c r="C51" s="44">
        <f>IFERROR(SUMIFS(Fluxo_Incorporacao!$E$43:$E$102,Fluxo_Incorporacao!$N$43:$N$102,C$47),0)</f>
        <v/>
      </c>
      <c r="D51" s="44">
        <f>IFERROR(SUMIFS(Fluxo_Incorporacao!$E$43:$E$102,Fluxo_Incorporacao!$N$43:$N$102,D$47),0)</f>
        <v/>
      </c>
      <c r="E51" s="58">
        <f>IFERROR(SUMIFS(Fluxo_Incorporacao!$E$43:$E$102,Fluxo_Incorporacao!$N$43:$N$102,E$47),0)</f>
        <v/>
      </c>
      <c r="F51" s="44">
        <f>IFERROR(SUMIFS(Fluxo_Incorporacao!$E$43:$E$102,Fluxo_Incorporacao!$N$43:$N$102,F$47),0)</f>
        <v/>
      </c>
      <c r="G51" s="33">
        <f>SUM(B51:F51)</f>
        <v/>
      </c>
    </row>
    <row r="52">
      <c r="A52" s="19" t="inlineStr">
        <is>
          <t>Créditos de obra</t>
        </is>
      </c>
      <c r="B52" s="44">
        <f>IFERROR(SUMIFS(Fluxo_Incorporacao!$F$43:$F$102,Fluxo_Incorporacao!$N$43:$N$102,B$47),0)</f>
        <v/>
      </c>
      <c r="C52" s="44">
        <f>IFERROR(SUMIFS(Fluxo_Incorporacao!$F$43:$F$102,Fluxo_Incorporacao!$N$43:$N$102,C$47),0)</f>
        <v/>
      </c>
      <c r="D52" s="44">
        <f>IFERROR(SUMIFS(Fluxo_Incorporacao!$F$43:$F$102,Fluxo_Incorporacao!$N$43:$N$102,D$47),0)</f>
        <v/>
      </c>
      <c r="E52" s="58">
        <f>IFERROR(SUMIFS(Fluxo_Incorporacao!$F$43:$F$102,Fluxo_Incorporacao!$N$43:$N$102,E$47),0)</f>
        <v/>
      </c>
      <c r="F52" s="44">
        <f>IFERROR(SUMIFS(Fluxo_Incorporacao!$F$43:$F$102,Fluxo_Incorporacao!$N$43:$N$102,F$47),0)</f>
        <v/>
      </c>
      <c r="G52" s="33">
        <f>SUM(B52:F52)</f>
        <v/>
      </c>
    </row>
    <row r="53">
      <c r="A53" s="52" t="inlineStr">
        <is>
          <t>Custo do empreendimento líquido</t>
        </is>
      </c>
      <c r="B53" s="53">
        <f>B51-B52</f>
        <v/>
      </c>
      <c r="C53" s="53">
        <f>C51-C52</f>
        <v/>
      </c>
      <c r="D53" s="53">
        <f>D51-D52</f>
        <v/>
      </c>
      <c r="E53" s="56">
        <f>E51-E52</f>
        <v/>
      </c>
      <c r="F53" s="53">
        <f>F51-F52</f>
        <v/>
      </c>
      <c r="G53" s="53">
        <f>SUM(B53:F53)</f>
        <v/>
      </c>
    </row>
    <row r="54">
      <c r="A54" s="52" t="inlineStr">
        <is>
          <t>Lucro bruto do projeto</t>
        </is>
      </c>
      <c r="B54" s="53">
        <f>B50-B53</f>
        <v/>
      </c>
      <c r="C54" s="53">
        <f>C50-C53</f>
        <v/>
      </c>
      <c r="D54" s="53">
        <f>D50-D53</f>
        <v/>
      </c>
      <c r="E54" s="56">
        <f>E50-E53</f>
        <v/>
      </c>
      <c r="F54" s="53">
        <f>F50-F53</f>
        <v/>
      </c>
      <c r="G54" s="53">
        <f>SUM(B54:F54)</f>
        <v/>
      </c>
    </row>
    <row r="55">
      <c r="A55" s="19" t="inlineStr">
        <is>
          <t>Despesas operacionais e de vendas</t>
        </is>
      </c>
      <c r="B55" s="44">
        <f>IFERROR(SUMIFS(Fluxo_Incorporacao!$G$43:$G$102,Fluxo_Incorporacao!$N$43:$N$102,B$47),0)</f>
        <v/>
      </c>
      <c r="C55" s="44">
        <f>IFERROR(SUMIFS(Fluxo_Incorporacao!$G$43:$G$102,Fluxo_Incorporacao!$N$43:$N$102,C$47),0)</f>
        <v/>
      </c>
      <c r="D55" s="44">
        <f>IFERROR(SUMIFS(Fluxo_Incorporacao!$G$43:$G$102,Fluxo_Incorporacao!$N$43:$N$102,D$47),0)</f>
        <v/>
      </c>
      <c r="E55" s="58">
        <f>IFERROR(SUMIFS(Fluxo_Incorporacao!$G$43:$G$102,Fluxo_Incorporacao!$N$43:$N$102,E$47),0)</f>
        <v/>
      </c>
      <c r="F55" s="44">
        <f>IFERROR(SUMIFS(Fluxo_Incorporacao!$G$43:$G$102,Fluxo_Incorporacao!$N$43:$N$102,F$47),0)</f>
        <v/>
      </c>
      <c r="G55" s="33">
        <f>SUM(B55:F55)</f>
        <v/>
      </c>
    </row>
    <row r="56">
      <c r="A56" s="19" t="inlineStr">
        <is>
          <t>Créditos de despesas</t>
        </is>
      </c>
      <c r="B56" s="44">
        <f>IFERROR(SUMIFS(Fluxo_Incorporacao!$H$43:$H$102,Fluxo_Incorporacao!$N$43:$N$102,B$47),0)</f>
        <v/>
      </c>
      <c r="C56" s="44">
        <f>IFERROR(SUMIFS(Fluxo_Incorporacao!$H$43:$H$102,Fluxo_Incorporacao!$N$43:$N$102,C$47),0)</f>
        <v/>
      </c>
      <c r="D56" s="44">
        <f>IFERROR(SUMIFS(Fluxo_Incorporacao!$H$43:$H$102,Fluxo_Incorporacao!$N$43:$N$102,D$47),0)</f>
        <v/>
      </c>
      <c r="E56" s="58">
        <f>IFERROR(SUMIFS(Fluxo_Incorporacao!$H$43:$H$102,Fluxo_Incorporacao!$N$43:$N$102,E$47),0)</f>
        <v/>
      </c>
      <c r="F56" s="44">
        <f>IFERROR(SUMIFS(Fluxo_Incorporacao!$H$43:$H$102,Fluxo_Incorporacao!$N$43:$N$102,F$47),0)</f>
        <v/>
      </c>
      <c r="G56" s="33">
        <f>SUM(B56:F56)</f>
        <v/>
      </c>
    </row>
    <row r="57" ht="15.75" customHeight="1" thickBot="1">
      <c r="A57" s="52" t="inlineStr">
        <is>
          <t>Despesas operacionais e de vendas líquidas</t>
        </is>
      </c>
      <c r="B57" s="53">
        <f>B55-B56</f>
        <v/>
      </c>
      <c r="C57" s="53">
        <f>C55-C56</f>
        <v/>
      </c>
      <c r="D57" s="53">
        <f>D55-D56</f>
        <v/>
      </c>
      <c r="E57" s="56">
        <f>E55-E56</f>
        <v/>
      </c>
      <c r="F57" s="53">
        <f>F55-F56</f>
        <v/>
      </c>
      <c r="G57" s="53">
        <f>SUM(B57:F57)</f>
        <v/>
      </c>
    </row>
    <row r="58">
      <c r="A58" s="22" t="inlineStr">
        <is>
          <t>EBITDA / resultado operacional</t>
        </is>
      </c>
      <c r="B58" s="49">
        <f>B54-B57</f>
        <v/>
      </c>
      <c r="C58" s="49">
        <f>C54-C57</f>
        <v/>
      </c>
      <c r="D58" s="49">
        <f>D54-D57</f>
        <v/>
      </c>
      <c r="E58" s="72">
        <f>E54-E57</f>
        <v/>
      </c>
      <c r="F58" s="49">
        <f>F54-F57</f>
        <v/>
      </c>
      <c r="G58" s="49">
        <f>SUM(B58:F58)</f>
        <v/>
      </c>
    </row>
    <row r="59" ht="15.75" customHeight="1" thickBot="1">
      <c r="A59" s="19" t="inlineStr">
        <is>
          <t>IRPJ e CSLL (apuração trimestral)</t>
        </is>
      </c>
      <c r="B59" s="33">
        <f>IFERROR(SUMIFS('IRPJ_CSLL Trimestral'!$N$7:$N$26,'IRPJ_CSLL Trimestral'!$B$7:$B$26,B$47),0)</f>
        <v/>
      </c>
      <c r="C59" s="33">
        <f>IFERROR(SUMIFS('IRPJ_CSLL Trimestral'!$N$7:$N$26,'IRPJ_CSLL Trimestral'!$B$7:$B$26,C$47),0)</f>
        <v/>
      </c>
      <c r="D59" s="33">
        <f>IFERROR(SUMIFS('IRPJ_CSLL Trimestral'!$N$7:$N$26,'IRPJ_CSLL Trimestral'!$B$7:$B$26,D$47),0)</f>
        <v/>
      </c>
      <c r="E59" s="77">
        <f>IFERROR(SUMIFS('IRPJ_CSLL Trimestral'!$N$7:$N$26,'IRPJ_CSLL Trimestral'!$B$7:$B$26,E$47),0)</f>
        <v/>
      </c>
      <c r="F59" s="33">
        <f>IFERROR(SUMIFS('IRPJ_CSLL Trimestral'!$N$7:$N$26,'IRPJ_CSLL Trimestral'!$B$7:$B$26,F$47),0)</f>
        <v/>
      </c>
      <c r="G59" s="33">
        <f>SUM(B59:F59)</f>
        <v/>
      </c>
    </row>
    <row r="60" ht="15.75" customHeight="1" thickBot="1">
      <c r="A60" s="24" t="inlineStr">
        <is>
          <t>Lucro líquido do empreendimento</t>
        </is>
      </c>
      <c r="B60" s="61">
        <f>B58-B59</f>
        <v/>
      </c>
      <c r="C60" s="61">
        <f>C58-C59</f>
        <v/>
      </c>
      <c r="D60" s="61">
        <f>D58-D59</f>
        <v/>
      </c>
      <c r="E60" s="78">
        <f>E58-E59</f>
        <v/>
      </c>
      <c r="F60" s="61">
        <f>F58-F59</f>
        <v/>
      </c>
      <c r="G60" s="61">
        <f>SUM(B60:F60)</f>
        <v/>
      </c>
    </row>
    <row r="61" ht="15.75" customHeight="1" thickTop="1">
      <c r="A61" s="64" t="inlineStr">
        <is>
          <t>Margem líquida</t>
        </is>
      </c>
      <c r="B61" s="65">
        <f>IFERROR(B60/B48,0)</f>
        <v/>
      </c>
      <c r="C61" s="65">
        <f>IFERROR(C60/C48,0)</f>
        <v/>
      </c>
      <c r="D61" s="65">
        <f>IFERROR(D60/D48,0)</f>
        <v/>
      </c>
      <c r="E61" s="66">
        <f>IFERROR(E60/E48,0)</f>
        <v/>
      </c>
      <c r="F61" s="65">
        <f>IFERROR(F60/F48,0)</f>
        <v/>
      </c>
      <c r="G61" s="65">
        <f>IFERROR(G60/G48,0)</f>
        <v/>
      </c>
    </row>
    <row r="62">
      <c r="A62" s="52" t="inlineStr">
        <is>
          <t>Check receita anual vs DRE consolidada</t>
        </is>
      </c>
      <c r="B62" s="53">
        <f>0</f>
        <v/>
      </c>
      <c r="C62" s="53">
        <f>0</f>
        <v/>
      </c>
      <c r="D62" s="53">
        <f>0</f>
        <v/>
      </c>
      <c r="E62" s="56">
        <f>0</f>
        <v/>
      </c>
      <c r="F62" s="53">
        <f>0</f>
        <v/>
      </c>
      <c r="G62" s="53">
        <f>G48-E8</f>
        <v/>
      </c>
    </row>
    <row r="63" ht="15.75" customHeight="1" thickBot="1">
      <c r="A63" s="67" t="inlineStr">
        <is>
          <t>Check lucro líquido anual vs DRE consolidada</t>
        </is>
      </c>
      <c r="B63" s="68">
        <f>0</f>
        <v/>
      </c>
      <c r="C63" s="68">
        <f>0</f>
        <v/>
      </c>
      <c r="D63" s="68">
        <f>0</f>
        <v/>
      </c>
      <c r="E63" s="79">
        <f>0</f>
        <v/>
      </c>
      <c r="F63" s="68">
        <f>0</f>
        <v/>
      </c>
      <c r="G63" s="68">
        <f>G60-E31</f>
        <v/>
      </c>
    </row>
    <row r="64"/>
    <row r="65">
      <c r="A65" s="120" t="inlineStr">
        <is>
          <t>Visão societária — permuta física (OCPC 01 / ICPC 31)</t>
        </is>
      </c>
      <c r="B65" s="121" t="n"/>
      <c r="C65" s="121" t="n"/>
      <c r="D65" s="121" t="n"/>
      <c r="E65" s="121" t="n"/>
      <c r="F65" s="121" t="n"/>
      <c r="G65" s="121" t="n"/>
    </row>
    <row r="66">
      <c r="A66" s="127" t="inlineStr">
        <is>
          <t>Rubrica</t>
        </is>
      </c>
      <c r="E66" s="127" t="inlineStr">
        <is>
          <t>Ativo</t>
        </is>
      </c>
      <c r="F66" s="127" t="inlineStr">
        <is>
          <t>Descrição</t>
        </is>
      </c>
    </row>
    <row r="67">
      <c r="A67" s="123" t="inlineStr">
        <is>
          <t>Receita de vendas (tributável)</t>
        </is>
      </c>
      <c r="E67" s="139">
        <f>E8</f>
        <v/>
      </c>
      <c r="F67" s="119" t="inlineStr">
        <is>
          <t>Recebimentos das unidades vendidas.</t>
        </is>
      </c>
    </row>
    <row r="68">
      <c r="A68" s="123" t="inlineStr">
        <is>
          <t>Receita de permuta física a valor justo</t>
        </is>
      </c>
      <c r="E68" s="140">
        <f>'Premissas &amp; Cenários'!$G$56</f>
        <v/>
      </c>
      <c r="F68" s="119" t="inlineStr">
        <is>
          <t>Unidades entregues ao permutante do terreno, reconhecidas pelo valor justo.</t>
        </is>
      </c>
    </row>
    <row r="69">
      <c r="A69" s="122" t="inlineStr">
        <is>
          <t>Receita bruta societária</t>
        </is>
      </c>
      <c r="E69" s="141">
        <f>E67+E68</f>
        <v/>
      </c>
      <c r="F69" s="119" t="inlineStr">
        <is>
          <t>Base para a margem contábil do empreendimento.</t>
        </is>
      </c>
    </row>
    <row r="70">
      <c r="A70" s="123" t="inlineStr">
        <is>
          <t>Custo do terreno adquirido por permuta</t>
        </is>
      </c>
      <c r="E70" s="139">
        <f>-E68</f>
        <v/>
      </c>
      <c r="F70" s="119" t="inlineStr">
        <is>
          <t>Contrapartida da permuta no custo do imóvel.</t>
        </is>
      </c>
    </row>
    <row r="71">
      <c r="A71" s="123" t="inlineStr">
        <is>
          <t>Efeito líquido da permuta no lucro</t>
        </is>
      </c>
      <c r="E71" s="139">
        <f>E68+E70</f>
        <v/>
      </c>
      <c r="F71" s="119" t="inlineStr">
        <is>
          <t>Nulo: a permuta não altera o lucro, só a receita e o custo.</t>
        </is>
      </c>
    </row>
    <row r="72">
      <c r="A72" s="122" t="inlineStr">
        <is>
          <t>Margem líquida sobre a receita societária</t>
        </is>
      </c>
      <c r="E72" s="125">
        <f>IFERROR(E31/E69,0)</f>
        <v/>
      </c>
      <c r="F72" s="119" t="inlineStr">
        <is>
          <t>Compara com a margem sobre o VGV tributável (linha 32).</t>
        </is>
      </c>
    </row>
  </sheetData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</cols>
  <sheetData>
    <row r="1">
      <c r="B1" s="142" t="inlineStr">
        <is>
          <t>IRPJ e CSLL — Lucro Presumido trimestral (LC 224/2025)</t>
        </is>
      </c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</row>
    <row r="2"/>
    <row r="3">
      <c r="B3" s="119" t="inlineStr">
        <is>
          <t>Apuração por trimestre sobre a receita recebida, com a majoração da presunção sobre o excedente de R$ 1,25 mi por trimestre (saldo acumulado no ano).</t>
        </is>
      </c>
    </row>
    <row r="4">
      <c r="B4" s="119" t="inlineStr">
        <is>
          <t>A permuta física sem torna não compõe a receita tributável. A majoração da CSLL vale a partir do 2º trimestre de 2026 (noventena).</t>
        </is>
      </c>
    </row>
    <row r="5"/>
    <row r="6" ht="30" customHeight="1">
      <c r="A6" s="127" t="inlineStr">
        <is>
          <t>Trimestre</t>
        </is>
      </c>
      <c r="B6" s="127" t="inlineStr">
        <is>
          <t>Ano</t>
        </is>
      </c>
      <c r="C6" s="127" t="inlineStr">
        <is>
          <t>Trimestre no ano</t>
        </is>
      </c>
      <c r="D6" s="127" t="inlineStr">
        <is>
          <t>Receita recebida</t>
        </is>
      </c>
      <c r="E6" s="127" t="inlineStr">
        <is>
          <t>Receita acumulada no ano</t>
        </is>
      </c>
      <c r="F6" s="127" t="inlineStr">
        <is>
          <t>Limite LC 224 acumulado</t>
        </is>
      </c>
      <c r="G6" s="127" t="inlineStr">
        <is>
          <t>Excedente acumulado</t>
        </is>
      </c>
      <c r="H6" s="127" t="inlineStr">
        <is>
          <t>Excedente do trimestre</t>
        </is>
      </c>
      <c r="I6" s="127" t="inlineStr">
        <is>
          <t>Base IRPJ</t>
        </is>
      </c>
      <c r="J6" s="127" t="inlineStr">
        <is>
          <t>IRPJ 15%</t>
        </is>
      </c>
      <c r="K6" s="127" t="inlineStr">
        <is>
          <t>Adicional IRPJ</t>
        </is>
      </c>
      <c r="L6" s="127" t="inlineStr">
        <is>
          <t>Base CSLL</t>
        </is>
      </c>
      <c r="M6" s="127" t="inlineStr">
        <is>
          <t>CSLL 9%</t>
        </is>
      </c>
      <c r="N6" s="127" t="inlineStr">
        <is>
          <t>Total IRPJ + CSLL</t>
        </is>
      </c>
    </row>
    <row r="7">
      <c r="A7" s="123" t="n">
        <v>1</v>
      </c>
      <c r="B7" s="144">
        <f>'Premissas &amp; Cenários'!$B$50+INT((A7-1)/4)</f>
        <v/>
      </c>
      <c r="C7" s="123">
        <f>MOD(A7-1,4)+1</f>
        <v/>
      </c>
      <c r="D7" s="140">
        <f>SUMIFS(Fluxo_Incorporacao!$B$43:$B$102,Fluxo_Incorporacao!$S$43:$S$102,A7)</f>
        <v/>
      </c>
      <c r="E7" s="139">
        <f>IF(C7=1,D7,E6+D7)</f>
        <v/>
      </c>
      <c r="F7" s="140">
        <f>'Premissas &amp; Cenários'!$B$106/4*C7</f>
        <v/>
      </c>
      <c r="G7" s="139">
        <f>IF('Premissas &amp; Cenários'!$B$105="Sim",MAX(0,E7-F7),0)</f>
        <v/>
      </c>
      <c r="H7" s="139">
        <f>IF(C7=1,G7,G7-G6)</f>
        <v/>
      </c>
      <c r="I7" s="139">
        <f>MAX(0,D7*'Premissas &amp; Cenários'!$B$44+H7*'Premissas &amp; Cenários'!$B$44*'Premissas &amp; Cenários'!$B$107)</f>
        <v/>
      </c>
      <c r="J7" s="139">
        <f>I7*'Premissas &amp; Cenários'!$B$45</f>
        <v/>
      </c>
      <c r="K7" s="139">
        <f>MAX(0,I7-'Premissas &amp; Cenários'!$B$46)*'Premissas &amp; Cenários'!$B$47</f>
        <v/>
      </c>
      <c r="L7" s="139">
        <f>MAX(0,D7*'Premissas &amp; Cenários'!$B$48+IF(AND(B7=2026,C7=1),0,H7*'Premissas &amp; Cenários'!$B$48*'Premissas &amp; Cenários'!$B$107))</f>
        <v/>
      </c>
      <c r="M7" s="139">
        <f>L7*'Premissas &amp; Cenários'!$B$49</f>
        <v/>
      </c>
      <c r="N7" s="139">
        <f>J7+K7+M7</f>
        <v/>
      </c>
    </row>
    <row r="8">
      <c r="A8" s="123" t="n">
        <v>2</v>
      </c>
      <c r="B8" s="144">
        <f>'Premissas &amp; Cenários'!$B$50+INT((A8-1)/4)</f>
        <v/>
      </c>
      <c r="C8" s="123">
        <f>MOD(A8-1,4)+1</f>
        <v/>
      </c>
      <c r="D8" s="140">
        <f>SUMIFS(Fluxo_Incorporacao!$B$43:$B$102,Fluxo_Incorporacao!$S$43:$S$102,A8)</f>
        <v/>
      </c>
      <c r="E8" s="139">
        <f>IF(C8=1,D8,E7+D8)</f>
        <v/>
      </c>
      <c r="F8" s="140">
        <f>'Premissas &amp; Cenários'!$B$106/4*C8</f>
        <v/>
      </c>
      <c r="G8" s="139">
        <f>IF('Premissas &amp; Cenários'!$B$105="Sim",MAX(0,E8-F8),0)</f>
        <v/>
      </c>
      <c r="H8" s="139">
        <f>IF(C8=1,G8,G8-G7)</f>
        <v/>
      </c>
      <c r="I8" s="139">
        <f>MAX(0,D8*'Premissas &amp; Cenários'!$B$44+H8*'Premissas &amp; Cenários'!$B$44*'Premissas &amp; Cenários'!$B$107)</f>
        <v/>
      </c>
      <c r="J8" s="139">
        <f>I8*'Premissas &amp; Cenários'!$B$45</f>
        <v/>
      </c>
      <c r="K8" s="139">
        <f>MAX(0,I8-'Premissas &amp; Cenários'!$B$46)*'Premissas &amp; Cenários'!$B$47</f>
        <v/>
      </c>
      <c r="L8" s="139">
        <f>MAX(0,D8*'Premissas &amp; Cenários'!$B$48+IF(AND(B8=2026,C8=1),0,H8*'Premissas &amp; Cenários'!$B$48*'Premissas &amp; Cenários'!$B$107))</f>
        <v/>
      </c>
      <c r="M8" s="139">
        <f>L8*'Premissas &amp; Cenários'!$B$49</f>
        <v/>
      </c>
      <c r="N8" s="139">
        <f>J8+K8+M8</f>
        <v/>
      </c>
    </row>
    <row r="9">
      <c r="A9" s="123" t="n">
        <v>3</v>
      </c>
      <c r="B9" s="144">
        <f>'Premissas &amp; Cenários'!$B$50+INT((A9-1)/4)</f>
        <v/>
      </c>
      <c r="C9" s="123">
        <f>MOD(A9-1,4)+1</f>
        <v/>
      </c>
      <c r="D9" s="140">
        <f>SUMIFS(Fluxo_Incorporacao!$B$43:$B$102,Fluxo_Incorporacao!$S$43:$S$102,A9)</f>
        <v/>
      </c>
      <c r="E9" s="139">
        <f>IF(C9=1,D9,E8+D9)</f>
        <v/>
      </c>
      <c r="F9" s="140">
        <f>'Premissas &amp; Cenários'!$B$106/4*C9</f>
        <v/>
      </c>
      <c r="G9" s="139">
        <f>IF('Premissas &amp; Cenários'!$B$105="Sim",MAX(0,E9-F9),0)</f>
        <v/>
      </c>
      <c r="H9" s="139">
        <f>IF(C9=1,G9,G9-G8)</f>
        <v/>
      </c>
      <c r="I9" s="139">
        <f>MAX(0,D9*'Premissas &amp; Cenários'!$B$44+H9*'Premissas &amp; Cenários'!$B$44*'Premissas &amp; Cenários'!$B$107)</f>
        <v/>
      </c>
      <c r="J9" s="139">
        <f>I9*'Premissas &amp; Cenários'!$B$45</f>
        <v/>
      </c>
      <c r="K9" s="139">
        <f>MAX(0,I9-'Premissas &amp; Cenários'!$B$46)*'Premissas &amp; Cenários'!$B$47</f>
        <v/>
      </c>
      <c r="L9" s="139">
        <f>MAX(0,D9*'Premissas &amp; Cenários'!$B$48+IF(AND(B9=2026,C9=1),0,H9*'Premissas &amp; Cenários'!$B$48*'Premissas &amp; Cenários'!$B$107))</f>
        <v/>
      </c>
      <c r="M9" s="139">
        <f>L9*'Premissas &amp; Cenários'!$B$49</f>
        <v/>
      </c>
      <c r="N9" s="139">
        <f>J9+K9+M9</f>
        <v/>
      </c>
    </row>
    <row r="10">
      <c r="A10" s="123" t="n">
        <v>4</v>
      </c>
      <c r="B10" s="144">
        <f>'Premissas &amp; Cenários'!$B$50+INT((A10-1)/4)</f>
        <v/>
      </c>
      <c r="C10" s="123">
        <f>MOD(A10-1,4)+1</f>
        <v/>
      </c>
      <c r="D10" s="140">
        <f>SUMIFS(Fluxo_Incorporacao!$B$43:$B$102,Fluxo_Incorporacao!$S$43:$S$102,A10)</f>
        <v/>
      </c>
      <c r="E10" s="139">
        <f>IF(C10=1,D10,E9+D10)</f>
        <v/>
      </c>
      <c r="F10" s="140">
        <f>'Premissas &amp; Cenários'!$B$106/4*C10</f>
        <v/>
      </c>
      <c r="G10" s="139">
        <f>IF('Premissas &amp; Cenários'!$B$105="Sim",MAX(0,E10-F10),0)</f>
        <v/>
      </c>
      <c r="H10" s="139">
        <f>IF(C10=1,G10,G10-G9)</f>
        <v/>
      </c>
      <c r="I10" s="139">
        <f>MAX(0,D10*'Premissas &amp; Cenários'!$B$44+H10*'Premissas &amp; Cenários'!$B$44*'Premissas &amp; Cenários'!$B$107)</f>
        <v/>
      </c>
      <c r="J10" s="139">
        <f>I10*'Premissas &amp; Cenários'!$B$45</f>
        <v/>
      </c>
      <c r="K10" s="139">
        <f>MAX(0,I10-'Premissas &amp; Cenários'!$B$46)*'Premissas &amp; Cenários'!$B$47</f>
        <v/>
      </c>
      <c r="L10" s="139">
        <f>MAX(0,D10*'Premissas &amp; Cenários'!$B$48+IF(AND(B10=2026,C10=1),0,H10*'Premissas &amp; Cenários'!$B$48*'Premissas &amp; Cenários'!$B$107))</f>
        <v/>
      </c>
      <c r="M10" s="139">
        <f>L10*'Premissas &amp; Cenários'!$B$49</f>
        <v/>
      </c>
      <c r="N10" s="139">
        <f>J10+K10+M10</f>
        <v/>
      </c>
    </row>
    <row r="11">
      <c r="A11" s="123" t="n">
        <v>5</v>
      </c>
      <c r="B11" s="144">
        <f>'Premissas &amp; Cenários'!$B$50+INT((A11-1)/4)</f>
        <v/>
      </c>
      <c r="C11" s="123">
        <f>MOD(A11-1,4)+1</f>
        <v/>
      </c>
      <c r="D11" s="140">
        <f>SUMIFS(Fluxo_Incorporacao!$B$43:$B$102,Fluxo_Incorporacao!$S$43:$S$102,A11)</f>
        <v/>
      </c>
      <c r="E11" s="139">
        <f>IF(C11=1,D11,E10+D11)</f>
        <v/>
      </c>
      <c r="F11" s="140">
        <f>'Premissas &amp; Cenários'!$B$106/4*C11</f>
        <v/>
      </c>
      <c r="G11" s="139">
        <f>IF('Premissas &amp; Cenários'!$B$105="Sim",MAX(0,E11-F11),0)</f>
        <v/>
      </c>
      <c r="H11" s="139">
        <f>IF(C11=1,G11,G11-G10)</f>
        <v/>
      </c>
      <c r="I11" s="139">
        <f>MAX(0,D11*'Premissas &amp; Cenários'!$B$44+H11*'Premissas &amp; Cenários'!$B$44*'Premissas &amp; Cenários'!$B$107)</f>
        <v/>
      </c>
      <c r="J11" s="139">
        <f>I11*'Premissas &amp; Cenários'!$B$45</f>
        <v/>
      </c>
      <c r="K11" s="139">
        <f>MAX(0,I11-'Premissas &amp; Cenários'!$B$46)*'Premissas &amp; Cenários'!$B$47</f>
        <v/>
      </c>
      <c r="L11" s="139">
        <f>MAX(0,D11*'Premissas &amp; Cenários'!$B$48+IF(AND(B11=2026,C11=1),0,H11*'Premissas &amp; Cenários'!$B$48*'Premissas &amp; Cenários'!$B$107))</f>
        <v/>
      </c>
      <c r="M11" s="139">
        <f>L11*'Premissas &amp; Cenários'!$B$49</f>
        <v/>
      </c>
      <c r="N11" s="139">
        <f>J11+K11+M11</f>
        <v/>
      </c>
    </row>
    <row r="12">
      <c r="A12" s="123" t="n">
        <v>6</v>
      </c>
      <c r="B12" s="144">
        <f>'Premissas &amp; Cenários'!$B$50+INT((A12-1)/4)</f>
        <v/>
      </c>
      <c r="C12" s="123">
        <f>MOD(A12-1,4)+1</f>
        <v/>
      </c>
      <c r="D12" s="140">
        <f>SUMIFS(Fluxo_Incorporacao!$B$43:$B$102,Fluxo_Incorporacao!$S$43:$S$102,A12)</f>
        <v/>
      </c>
      <c r="E12" s="139">
        <f>IF(C12=1,D12,E11+D12)</f>
        <v/>
      </c>
      <c r="F12" s="140">
        <f>'Premissas &amp; Cenários'!$B$106/4*C12</f>
        <v/>
      </c>
      <c r="G12" s="139">
        <f>IF('Premissas &amp; Cenários'!$B$105="Sim",MAX(0,E12-F12),0)</f>
        <v/>
      </c>
      <c r="H12" s="139">
        <f>IF(C12=1,G12,G12-G11)</f>
        <v/>
      </c>
      <c r="I12" s="139">
        <f>MAX(0,D12*'Premissas &amp; Cenários'!$B$44+H12*'Premissas &amp; Cenários'!$B$44*'Premissas &amp; Cenários'!$B$107)</f>
        <v/>
      </c>
      <c r="J12" s="139">
        <f>I12*'Premissas &amp; Cenários'!$B$45</f>
        <v/>
      </c>
      <c r="K12" s="139">
        <f>MAX(0,I12-'Premissas &amp; Cenários'!$B$46)*'Premissas &amp; Cenários'!$B$47</f>
        <v/>
      </c>
      <c r="L12" s="139">
        <f>MAX(0,D12*'Premissas &amp; Cenários'!$B$48+IF(AND(B12=2026,C12=1),0,H12*'Premissas &amp; Cenários'!$B$48*'Premissas &amp; Cenários'!$B$107))</f>
        <v/>
      </c>
      <c r="M12" s="139">
        <f>L12*'Premissas &amp; Cenários'!$B$49</f>
        <v/>
      </c>
      <c r="N12" s="139">
        <f>J12+K12+M12</f>
        <v/>
      </c>
    </row>
    <row r="13">
      <c r="A13" s="123" t="n">
        <v>7</v>
      </c>
      <c r="B13" s="144">
        <f>'Premissas &amp; Cenários'!$B$50+INT((A13-1)/4)</f>
        <v/>
      </c>
      <c r="C13" s="123">
        <f>MOD(A13-1,4)+1</f>
        <v/>
      </c>
      <c r="D13" s="140">
        <f>SUMIFS(Fluxo_Incorporacao!$B$43:$B$102,Fluxo_Incorporacao!$S$43:$S$102,A13)</f>
        <v/>
      </c>
      <c r="E13" s="139">
        <f>IF(C13=1,D13,E12+D13)</f>
        <v/>
      </c>
      <c r="F13" s="140">
        <f>'Premissas &amp; Cenários'!$B$106/4*C13</f>
        <v/>
      </c>
      <c r="G13" s="139">
        <f>IF('Premissas &amp; Cenários'!$B$105="Sim",MAX(0,E13-F13),0)</f>
        <v/>
      </c>
      <c r="H13" s="139">
        <f>IF(C13=1,G13,G13-G12)</f>
        <v/>
      </c>
      <c r="I13" s="139">
        <f>MAX(0,D13*'Premissas &amp; Cenários'!$B$44+H13*'Premissas &amp; Cenários'!$B$44*'Premissas &amp; Cenários'!$B$107)</f>
        <v/>
      </c>
      <c r="J13" s="139">
        <f>I13*'Premissas &amp; Cenários'!$B$45</f>
        <v/>
      </c>
      <c r="K13" s="139">
        <f>MAX(0,I13-'Premissas &amp; Cenários'!$B$46)*'Premissas &amp; Cenários'!$B$47</f>
        <v/>
      </c>
      <c r="L13" s="139">
        <f>MAX(0,D13*'Premissas &amp; Cenários'!$B$48+IF(AND(B13=2026,C13=1),0,H13*'Premissas &amp; Cenários'!$B$48*'Premissas &amp; Cenários'!$B$107))</f>
        <v/>
      </c>
      <c r="M13" s="139">
        <f>L13*'Premissas &amp; Cenários'!$B$49</f>
        <v/>
      </c>
      <c r="N13" s="139">
        <f>J13+K13+M13</f>
        <v/>
      </c>
    </row>
    <row r="14">
      <c r="A14" s="123" t="n">
        <v>8</v>
      </c>
      <c r="B14" s="144">
        <f>'Premissas &amp; Cenários'!$B$50+INT((A14-1)/4)</f>
        <v/>
      </c>
      <c r="C14" s="123">
        <f>MOD(A14-1,4)+1</f>
        <v/>
      </c>
      <c r="D14" s="140">
        <f>SUMIFS(Fluxo_Incorporacao!$B$43:$B$102,Fluxo_Incorporacao!$S$43:$S$102,A14)</f>
        <v/>
      </c>
      <c r="E14" s="139">
        <f>IF(C14=1,D14,E13+D14)</f>
        <v/>
      </c>
      <c r="F14" s="140">
        <f>'Premissas &amp; Cenários'!$B$106/4*C14</f>
        <v/>
      </c>
      <c r="G14" s="139">
        <f>IF('Premissas &amp; Cenários'!$B$105="Sim",MAX(0,E14-F14),0)</f>
        <v/>
      </c>
      <c r="H14" s="139">
        <f>IF(C14=1,G14,G14-G13)</f>
        <v/>
      </c>
      <c r="I14" s="139">
        <f>MAX(0,D14*'Premissas &amp; Cenários'!$B$44+H14*'Premissas &amp; Cenários'!$B$44*'Premissas &amp; Cenários'!$B$107)</f>
        <v/>
      </c>
      <c r="J14" s="139">
        <f>I14*'Premissas &amp; Cenários'!$B$45</f>
        <v/>
      </c>
      <c r="K14" s="139">
        <f>MAX(0,I14-'Premissas &amp; Cenários'!$B$46)*'Premissas &amp; Cenários'!$B$47</f>
        <v/>
      </c>
      <c r="L14" s="139">
        <f>MAX(0,D14*'Premissas &amp; Cenários'!$B$48+IF(AND(B14=2026,C14=1),0,H14*'Premissas &amp; Cenários'!$B$48*'Premissas &amp; Cenários'!$B$107))</f>
        <v/>
      </c>
      <c r="M14" s="139">
        <f>L14*'Premissas &amp; Cenários'!$B$49</f>
        <v/>
      </c>
      <c r="N14" s="139">
        <f>J14+K14+M14</f>
        <v/>
      </c>
    </row>
    <row r="15">
      <c r="A15" s="123" t="n">
        <v>9</v>
      </c>
      <c r="B15" s="144">
        <f>'Premissas &amp; Cenários'!$B$50+INT((A15-1)/4)</f>
        <v/>
      </c>
      <c r="C15" s="123">
        <f>MOD(A15-1,4)+1</f>
        <v/>
      </c>
      <c r="D15" s="140">
        <f>SUMIFS(Fluxo_Incorporacao!$B$43:$B$102,Fluxo_Incorporacao!$S$43:$S$102,A15)</f>
        <v/>
      </c>
      <c r="E15" s="139">
        <f>IF(C15=1,D15,E14+D15)</f>
        <v/>
      </c>
      <c r="F15" s="140">
        <f>'Premissas &amp; Cenários'!$B$106/4*C15</f>
        <v/>
      </c>
      <c r="G15" s="139">
        <f>IF('Premissas &amp; Cenários'!$B$105="Sim",MAX(0,E15-F15),0)</f>
        <v/>
      </c>
      <c r="H15" s="139">
        <f>IF(C15=1,G15,G15-G14)</f>
        <v/>
      </c>
      <c r="I15" s="139">
        <f>MAX(0,D15*'Premissas &amp; Cenários'!$B$44+H15*'Premissas &amp; Cenários'!$B$44*'Premissas &amp; Cenários'!$B$107)</f>
        <v/>
      </c>
      <c r="J15" s="139">
        <f>I15*'Premissas &amp; Cenários'!$B$45</f>
        <v/>
      </c>
      <c r="K15" s="139">
        <f>MAX(0,I15-'Premissas &amp; Cenários'!$B$46)*'Premissas &amp; Cenários'!$B$47</f>
        <v/>
      </c>
      <c r="L15" s="139">
        <f>MAX(0,D15*'Premissas &amp; Cenários'!$B$48+IF(AND(B15=2026,C15=1),0,H15*'Premissas &amp; Cenários'!$B$48*'Premissas &amp; Cenários'!$B$107))</f>
        <v/>
      </c>
      <c r="M15" s="139">
        <f>L15*'Premissas &amp; Cenários'!$B$49</f>
        <v/>
      </c>
      <c r="N15" s="139">
        <f>J15+K15+M15</f>
        <v/>
      </c>
    </row>
    <row r="16">
      <c r="A16" s="123" t="n">
        <v>10</v>
      </c>
      <c r="B16" s="144">
        <f>'Premissas &amp; Cenários'!$B$50+INT((A16-1)/4)</f>
        <v/>
      </c>
      <c r="C16" s="123">
        <f>MOD(A16-1,4)+1</f>
        <v/>
      </c>
      <c r="D16" s="140">
        <f>SUMIFS(Fluxo_Incorporacao!$B$43:$B$102,Fluxo_Incorporacao!$S$43:$S$102,A16)</f>
        <v/>
      </c>
      <c r="E16" s="139">
        <f>IF(C16=1,D16,E15+D16)</f>
        <v/>
      </c>
      <c r="F16" s="140">
        <f>'Premissas &amp; Cenários'!$B$106/4*C16</f>
        <v/>
      </c>
      <c r="G16" s="139">
        <f>IF('Premissas &amp; Cenários'!$B$105="Sim",MAX(0,E16-F16),0)</f>
        <v/>
      </c>
      <c r="H16" s="139">
        <f>IF(C16=1,G16,G16-G15)</f>
        <v/>
      </c>
      <c r="I16" s="139">
        <f>MAX(0,D16*'Premissas &amp; Cenários'!$B$44+H16*'Premissas &amp; Cenários'!$B$44*'Premissas &amp; Cenários'!$B$107)</f>
        <v/>
      </c>
      <c r="J16" s="139">
        <f>I16*'Premissas &amp; Cenários'!$B$45</f>
        <v/>
      </c>
      <c r="K16" s="139">
        <f>MAX(0,I16-'Premissas &amp; Cenários'!$B$46)*'Premissas &amp; Cenários'!$B$47</f>
        <v/>
      </c>
      <c r="L16" s="139">
        <f>MAX(0,D16*'Premissas &amp; Cenários'!$B$48+IF(AND(B16=2026,C16=1),0,H16*'Premissas &amp; Cenários'!$B$48*'Premissas &amp; Cenários'!$B$107))</f>
        <v/>
      </c>
      <c r="M16" s="139">
        <f>L16*'Premissas &amp; Cenários'!$B$49</f>
        <v/>
      </c>
      <c r="N16" s="139">
        <f>J16+K16+M16</f>
        <v/>
      </c>
    </row>
    <row r="17">
      <c r="A17" s="123" t="n">
        <v>11</v>
      </c>
      <c r="B17" s="144">
        <f>'Premissas &amp; Cenários'!$B$50+INT((A17-1)/4)</f>
        <v/>
      </c>
      <c r="C17" s="123">
        <f>MOD(A17-1,4)+1</f>
        <v/>
      </c>
      <c r="D17" s="140">
        <f>SUMIFS(Fluxo_Incorporacao!$B$43:$B$102,Fluxo_Incorporacao!$S$43:$S$102,A17)</f>
        <v/>
      </c>
      <c r="E17" s="139">
        <f>IF(C17=1,D17,E16+D17)</f>
        <v/>
      </c>
      <c r="F17" s="140">
        <f>'Premissas &amp; Cenários'!$B$106/4*C17</f>
        <v/>
      </c>
      <c r="G17" s="139">
        <f>IF('Premissas &amp; Cenários'!$B$105="Sim",MAX(0,E17-F17),0)</f>
        <v/>
      </c>
      <c r="H17" s="139">
        <f>IF(C17=1,G17,G17-G16)</f>
        <v/>
      </c>
      <c r="I17" s="139">
        <f>MAX(0,D17*'Premissas &amp; Cenários'!$B$44+H17*'Premissas &amp; Cenários'!$B$44*'Premissas &amp; Cenários'!$B$107)</f>
        <v/>
      </c>
      <c r="J17" s="139">
        <f>I17*'Premissas &amp; Cenários'!$B$45</f>
        <v/>
      </c>
      <c r="K17" s="139">
        <f>MAX(0,I17-'Premissas &amp; Cenários'!$B$46)*'Premissas &amp; Cenários'!$B$47</f>
        <v/>
      </c>
      <c r="L17" s="139">
        <f>MAX(0,D17*'Premissas &amp; Cenários'!$B$48+IF(AND(B17=2026,C17=1),0,H17*'Premissas &amp; Cenários'!$B$48*'Premissas &amp; Cenários'!$B$107))</f>
        <v/>
      </c>
      <c r="M17" s="139">
        <f>L17*'Premissas &amp; Cenários'!$B$49</f>
        <v/>
      </c>
      <c r="N17" s="139">
        <f>J17+K17+M17</f>
        <v/>
      </c>
    </row>
    <row r="18">
      <c r="A18" s="123" t="n">
        <v>12</v>
      </c>
      <c r="B18" s="144">
        <f>'Premissas &amp; Cenários'!$B$50+INT((A18-1)/4)</f>
        <v/>
      </c>
      <c r="C18" s="123">
        <f>MOD(A18-1,4)+1</f>
        <v/>
      </c>
      <c r="D18" s="140">
        <f>SUMIFS(Fluxo_Incorporacao!$B$43:$B$102,Fluxo_Incorporacao!$S$43:$S$102,A18)</f>
        <v/>
      </c>
      <c r="E18" s="139">
        <f>IF(C18=1,D18,E17+D18)</f>
        <v/>
      </c>
      <c r="F18" s="140">
        <f>'Premissas &amp; Cenários'!$B$106/4*C18</f>
        <v/>
      </c>
      <c r="G18" s="139">
        <f>IF('Premissas &amp; Cenários'!$B$105="Sim",MAX(0,E18-F18),0)</f>
        <v/>
      </c>
      <c r="H18" s="139">
        <f>IF(C18=1,G18,G18-G17)</f>
        <v/>
      </c>
      <c r="I18" s="139">
        <f>MAX(0,D18*'Premissas &amp; Cenários'!$B$44+H18*'Premissas &amp; Cenários'!$B$44*'Premissas &amp; Cenários'!$B$107)</f>
        <v/>
      </c>
      <c r="J18" s="139">
        <f>I18*'Premissas &amp; Cenários'!$B$45</f>
        <v/>
      </c>
      <c r="K18" s="139">
        <f>MAX(0,I18-'Premissas &amp; Cenários'!$B$46)*'Premissas &amp; Cenários'!$B$47</f>
        <v/>
      </c>
      <c r="L18" s="139">
        <f>MAX(0,D18*'Premissas &amp; Cenários'!$B$48+IF(AND(B18=2026,C18=1),0,H18*'Premissas &amp; Cenários'!$B$48*'Premissas &amp; Cenários'!$B$107))</f>
        <v/>
      </c>
      <c r="M18" s="139">
        <f>L18*'Premissas &amp; Cenários'!$B$49</f>
        <v/>
      </c>
      <c r="N18" s="139">
        <f>J18+K18+M18</f>
        <v/>
      </c>
    </row>
    <row r="19">
      <c r="A19" s="123" t="n">
        <v>13</v>
      </c>
      <c r="B19" s="144">
        <f>'Premissas &amp; Cenários'!$B$50+INT((A19-1)/4)</f>
        <v/>
      </c>
      <c r="C19" s="123">
        <f>MOD(A19-1,4)+1</f>
        <v/>
      </c>
      <c r="D19" s="140">
        <f>SUMIFS(Fluxo_Incorporacao!$B$43:$B$102,Fluxo_Incorporacao!$S$43:$S$102,A19)</f>
        <v/>
      </c>
      <c r="E19" s="139">
        <f>IF(C19=1,D19,E18+D19)</f>
        <v/>
      </c>
      <c r="F19" s="140">
        <f>'Premissas &amp; Cenários'!$B$106/4*C19</f>
        <v/>
      </c>
      <c r="G19" s="139">
        <f>IF('Premissas &amp; Cenários'!$B$105="Sim",MAX(0,E19-F19),0)</f>
        <v/>
      </c>
      <c r="H19" s="139">
        <f>IF(C19=1,G19,G19-G18)</f>
        <v/>
      </c>
      <c r="I19" s="139">
        <f>MAX(0,D19*'Premissas &amp; Cenários'!$B$44+H19*'Premissas &amp; Cenários'!$B$44*'Premissas &amp; Cenários'!$B$107)</f>
        <v/>
      </c>
      <c r="J19" s="139">
        <f>I19*'Premissas &amp; Cenários'!$B$45</f>
        <v/>
      </c>
      <c r="K19" s="139">
        <f>MAX(0,I19-'Premissas &amp; Cenários'!$B$46)*'Premissas &amp; Cenários'!$B$47</f>
        <v/>
      </c>
      <c r="L19" s="139">
        <f>MAX(0,D19*'Premissas &amp; Cenários'!$B$48+IF(AND(B19=2026,C19=1),0,H19*'Premissas &amp; Cenários'!$B$48*'Premissas &amp; Cenários'!$B$107))</f>
        <v/>
      </c>
      <c r="M19" s="139">
        <f>L19*'Premissas &amp; Cenários'!$B$49</f>
        <v/>
      </c>
      <c r="N19" s="139">
        <f>J19+K19+M19</f>
        <v/>
      </c>
    </row>
    <row r="20">
      <c r="A20" s="123" t="n">
        <v>14</v>
      </c>
      <c r="B20" s="144">
        <f>'Premissas &amp; Cenários'!$B$50+INT((A20-1)/4)</f>
        <v/>
      </c>
      <c r="C20" s="123">
        <f>MOD(A20-1,4)+1</f>
        <v/>
      </c>
      <c r="D20" s="140">
        <f>SUMIFS(Fluxo_Incorporacao!$B$43:$B$102,Fluxo_Incorporacao!$S$43:$S$102,A20)</f>
        <v/>
      </c>
      <c r="E20" s="139">
        <f>IF(C20=1,D20,E19+D20)</f>
        <v/>
      </c>
      <c r="F20" s="140">
        <f>'Premissas &amp; Cenários'!$B$106/4*C20</f>
        <v/>
      </c>
      <c r="G20" s="139">
        <f>IF('Premissas &amp; Cenários'!$B$105="Sim",MAX(0,E20-F20),0)</f>
        <v/>
      </c>
      <c r="H20" s="139">
        <f>IF(C20=1,G20,G20-G19)</f>
        <v/>
      </c>
      <c r="I20" s="139">
        <f>MAX(0,D20*'Premissas &amp; Cenários'!$B$44+H20*'Premissas &amp; Cenários'!$B$44*'Premissas &amp; Cenários'!$B$107)</f>
        <v/>
      </c>
      <c r="J20" s="139">
        <f>I20*'Premissas &amp; Cenários'!$B$45</f>
        <v/>
      </c>
      <c r="K20" s="139">
        <f>MAX(0,I20-'Premissas &amp; Cenários'!$B$46)*'Premissas &amp; Cenários'!$B$47</f>
        <v/>
      </c>
      <c r="L20" s="139">
        <f>MAX(0,D20*'Premissas &amp; Cenários'!$B$48+IF(AND(B20=2026,C20=1),0,H20*'Premissas &amp; Cenários'!$B$48*'Premissas &amp; Cenários'!$B$107))</f>
        <v/>
      </c>
      <c r="M20" s="139">
        <f>L20*'Premissas &amp; Cenários'!$B$49</f>
        <v/>
      </c>
      <c r="N20" s="139">
        <f>J20+K20+M20</f>
        <v/>
      </c>
    </row>
    <row r="21">
      <c r="A21" s="123" t="n">
        <v>15</v>
      </c>
      <c r="B21" s="144">
        <f>'Premissas &amp; Cenários'!$B$50+INT((A21-1)/4)</f>
        <v/>
      </c>
      <c r="C21" s="123">
        <f>MOD(A21-1,4)+1</f>
        <v/>
      </c>
      <c r="D21" s="140">
        <f>SUMIFS(Fluxo_Incorporacao!$B$43:$B$102,Fluxo_Incorporacao!$S$43:$S$102,A21)</f>
        <v/>
      </c>
      <c r="E21" s="139">
        <f>IF(C21=1,D21,E20+D21)</f>
        <v/>
      </c>
      <c r="F21" s="140">
        <f>'Premissas &amp; Cenários'!$B$106/4*C21</f>
        <v/>
      </c>
      <c r="G21" s="139">
        <f>IF('Premissas &amp; Cenários'!$B$105="Sim",MAX(0,E21-F21),0)</f>
        <v/>
      </c>
      <c r="H21" s="139">
        <f>IF(C21=1,G21,G21-G20)</f>
        <v/>
      </c>
      <c r="I21" s="139">
        <f>MAX(0,D21*'Premissas &amp; Cenários'!$B$44+H21*'Premissas &amp; Cenários'!$B$44*'Premissas &amp; Cenários'!$B$107)</f>
        <v/>
      </c>
      <c r="J21" s="139">
        <f>I21*'Premissas &amp; Cenários'!$B$45</f>
        <v/>
      </c>
      <c r="K21" s="139">
        <f>MAX(0,I21-'Premissas &amp; Cenários'!$B$46)*'Premissas &amp; Cenários'!$B$47</f>
        <v/>
      </c>
      <c r="L21" s="139">
        <f>MAX(0,D21*'Premissas &amp; Cenários'!$B$48+IF(AND(B21=2026,C21=1),0,H21*'Premissas &amp; Cenários'!$B$48*'Premissas &amp; Cenários'!$B$107))</f>
        <v/>
      </c>
      <c r="M21" s="139">
        <f>L21*'Premissas &amp; Cenários'!$B$49</f>
        <v/>
      </c>
      <c r="N21" s="139">
        <f>J21+K21+M21</f>
        <v/>
      </c>
    </row>
    <row r="22">
      <c r="A22" s="123" t="n">
        <v>16</v>
      </c>
      <c r="B22" s="144">
        <f>'Premissas &amp; Cenários'!$B$50+INT((A22-1)/4)</f>
        <v/>
      </c>
      <c r="C22" s="123">
        <f>MOD(A22-1,4)+1</f>
        <v/>
      </c>
      <c r="D22" s="140">
        <f>SUMIFS(Fluxo_Incorporacao!$B$43:$B$102,Fluxo_Incorporacao!$S$43:$S$102,A22)</f>
        <v/>
      </c>
      <c r="E22" s="139">
        <f>IF(C22=1,D22,E21+D22)</f>
        <v/>
      </c>
      <c r="F22" s="140">
        <f>'Premissas &amp; Cenários'!$B$106/4*C22</f>
        <v/>
      </c>
      <c r="G22" s="139">
        <f>IF('Premissas &amp; Cenários'!$B$105="Sim",MAX(0,E22-F22),0)</f>
        <v/>
      </c>
      <c r="H22" s="139">
        <f>IF(C22=1,G22,G22-G21)</f>
        <v/>
      </c>
      <c r="I22" s="139">
        <f>MAX(0,D22*'Premissas &amp; Cenários'!$B$44+H22*'Premissas &amp; Cenários'!$B$44*'Premissas &amp; Cenários'!$B$107)</f>
        <v/>
      </c>
      <c r="J22" s="139">
        <f>I22*'Premissas &amp; Cenários'!$B$45</f>
        <v/>
      </c>
      <c r="K22" s="139">
        <f>MAX(0,I22-'Premissas &amp; Cenários'!$B$46)*'Premissas &amp; Cenários'!$B$47</f>
        <v/>
      </c>
      <c r="L22" s="139">
        <f>MAX(0,D22*'Premissas &amp; Cenários'!$B$48+IF(AND(B22=2026,C22=1),0,H22*'Premissas &amp; Cenários'!$B$48*'Premissas &amp; Cenários'!$B$107))</f>
        <v/>
      </c>
      <c r="M22" s="139">
        <f>L22*'Premissas &amp; Cenários'!$B$49</f>
        <v/>
      </c>
      <c r="N22" s="139">
        <f>J22+K22+M22</f>
        <v/>
      </c>
    </row>
    <row r="23">
      <c r="A23" s="123" t="n">
        <v>17</v>
      </c>
      <c r="B23" s="144">
        <f>'Premissas &amp; Cenários'!$B$50+INT((A23-1)/4)</f>
        <v/>
      </c>
      <c r="C23" s="123">
        <f>MOD(A23-1,4)+1</f>
        <v/>
      </c>
      <c r="D23" s="140">
        <f>SUMIFS(Fluxo_Incorporacao!$B$43:$B$102,Fluxo_Incorporacao!$S$43:$S$102,A23)</f>
        <v/>
      </c>
      <c r="E23" s="139">
        <f>IF(C23=1,D23,E22+D23)</f>
        <v/>
      </c>
      <c r="F23" s="140">
        <f>'Premissas &amp; Cenários'!$B$106/4*C23</f>
        <v/>
      </c>
      <c r="G23" s="139">
        <f>IF('Premissas &amp; Cenários'!$B$105="Sim",MAX(0,E23-F23),0)</f>
        <v/>
      </c>
      <c r="H23" s="139">
        <f>IF(C23=1,G23,G23-G22)</f>
        <v/>
      </c>
      <c r="I23" s="139">
        <f>MAX(0,D23*'Premissas &amp; Cenários'!$B$44+H23*'Premissas &amp; Cenários'!$B$44*'Premissas &amp; Cenários'!$B$107)</f>
        <v/>
      </c>
      <c r="J23" s="139">
        <f>I23*'Premissas &amp; Cenários'!$B$45</f>
        <v/>
      </c>
      <c r="K23" s="139">
        <f>MAX(0,I23-'Premissas &amp; Cenários'!$B$46)*'Premissas &amp; Cenários'!$B$47</f>
        <v/>
      </c>
      <c r="L23" s="139">
        <f>MAX(0,D23*'Premissas &amp; Cenários'!$B$48+IF(AND(B23=2026,C23=1),0,H23*'Premissas &amp; Cenários'!$B$48*'Premissas &amp; Cenários'!$B$107))</f>
        <v/>
      </c>
      <c r="M23" s="139">
        <f>L23*'Premissas &amp; Cenários'!$B$49</f>
        <v/>
      </c>
      <c r="N23" s="139">
        <f>J23+K23+M23</f>
        <v/>
      </c>
    </row>
    <row r="24">
      <c r="A24" s="123" t="n">
        <v>18</v>
      </c>
      <c r="B24" s="144">
        <f>'Premissas &amp; Cenários'!$B$50+INT((A24-1)/4)</f>
        <v/>
      </c>
      <c r="C24" s="123">
        <f>MOD(A24-1,4)+1</f>
        <v/>
      </c>
      <c r="D24" s="140">
        <f>SUMIFS(Fluxo_Incorporacao!$B$43:$B$102,Fluxo_Incorporacao!$S$43:$S$102,A24)</f>
        <v/>
      </c>
      <c r="E24" s="139">
        <f>IF(C24=1,D24,E23+D24)</f>
        <v/>
      </c>
      <c r="F24" s="140">
        <f>'Premissas &amp; Cenários'!$B$106/4*C24</f>
        <v/>
      </c>
      <c r="G24" s="139">
        <f>IF('Premissas &amp; Cenários'!$B$105="Sim",MAX(0,E24-F24),0)</f>
        <v/>
      </c>
      <c r="H24" s="139">
        <f>IF(C24=1,G24,G24-G23)</f>
        <v/>
      </c>
      <c r="I24" s="139">
        <f>MAX(0,D24*'Premissas &amp; Cenários'!$B$44+H24*'Premissas &amp; Cenários'!$B$44*'Premissas &amp; Cenários'!$B$107)</f>
        <v/>
      </c>
      <c r="J24" s="139">
        <f>I24*'Premissas &amp; Cenários'!$B$45</f>
        <v/>
      </c>
      <c r="K24" s="139">
        <f>MAX(0,I24-'Premissas &amp; Cenários'!$B$46)*'Premissas &amp; Cenários'!$B$47</f>
        <v/>
      </c>
      <c r="L24" s="139">
        <f>MAX(0,D24*'Premissas &amp; Cenários'!$B$48+IF(AND(B24=2026,C24=1),0,H24*'Premissas &amp; Cenários'!$B$48*'Premissas &amp; Cenários'!$B$107))</f>
        <v/>
      </c>
      <c r="M24" s="139">
        <f>L24*'Premissas &amp; Cenários'!$B$49</f>
        <v/>
      </c>
      <c r="N24" s="139">
        <f>J24+K24+M24</f>
        <v/>
      </c>
    </row>
    <row r="25">
      <c r="A25" s="123" t="n">
        <v>19</v>
      </c>
      <c r="B25" s="144">
        <f>'Premissas &amp; Cenários'!$B$50+INT((A25-1)/4)</f>
        <v/>
      </c>
      <c r="C25" s="123">
        <f>MOD(A25-1,4)+1</f>
        <v/>
      </c>
      <c r="D25" s="140">
        <f>SUMIFS(Fluxo_Incorporacao!$B$43:$B$102,Fluxo_Incorporacao!$S$43:$S$102,A25)</f>
        <v/>
      </c>
      <c r="E25" s="139">
        <f>IF(C25=1,D25,E24+D25)</f>
        <v/>
      </c>
      <c r="F25" s="140">
        <f>'Premissas &amp; Cenários'!$B$106/4*C25</f>
        <v/>
      </c>
      <c r="G25" s="139">
        <f>IF('Premissas &amp; Cenários'!$B$105="Sim",MAX(0,E25-F25),0)</f>
        <v/>
      </c>
      <c r="H25" s="139">
        <f>IF(C25=1,G25,G25-G24)</f>
        <v/>
      </c>
      <c r="I25" s="139">
        <f>MAX(0,D25*'Premissas &amp; Cenários'!$B$44+H25*'Premissas &amp; Cenários'!$B$44*'Premissas &amp; Cenários'!$B$107)</f>
        <v/>
      </c>
      <c r="J25" s="139">
        <f>I25*'Premissas &amp; Cenários'!$B$45</f>
        <v/>
      </c>
      <c r="K25" s="139">
        <f>MAX(0,I25-'Premissas &amp; Cenários'!$B$46)*'Premissas &amp; Cenários'!$B$47</f>
        <v/>
      </c>
      <c r="L25" s="139">
        <f>MAX(0,D25*'Premissas &amp; Cenários'!$B$48+IF(AND(B25=2026,C25=1),0,H25*'Premissas &amp; Cenários'!$B$48*'Premissas &amp; Cenários'!$B$107))</f>
        <v/>
      </c>
      <c r="M25" s="139">
        <f>L25*'Premissas &amp; Cenários'!$B$49</f>
        <v/>
      </c>
      <c r="N25" s="139">
        <f>J25+K25+M25</f>
        <v/>
      </c>
    </row>
    <row r="26">
      <c r="A26" s="123" t="n">
        <v>20</v>
      </c>
      <c r="B26" s="144">
        <f>'Premissas &amp; Cenários'!$B$50+INT((A26-1)/4)</f>
        <v/>
      </c>
      <c r="C26" s="123">
        <f>MOD(A26-1,4)+1</f>
        <v/>
      </c>
      <c r="D26" s="140">
        <f>SUMIFS(Fluxo_Incorporacao!$B$43:$B$102,Fluxo_Incorporacao!$S$43:$S$102,A26)</f>
        <v/>
      </c>
      <c r="E26" s="139">
        <f>IF(C26=1,D26,E25+D26)</f>
        <v/>
      </c>
      <c r="F26" s="140">
        <f>'Premissas &amp; Cenários'!$B$106/4*C26</f>
        <v/>
      </c>
      <c r="G26" s="139">
        <f>IF('Premissas &amp; Cenários'!$B$105="Sim",MAX(0,E26-F26),0)</f>
        <v/>
      </c>
      <c r="H26" s="139">
        <f>IF(C26=1,G26,G26-G25)</f>
        <v/>
      </c>
      <c r="I26" s="139">
        <f>MAX(0,D26*'Premissas &amp; Cenários'!$B$44+H26*'Premissas &amp; Cenários'!$B$44*'Premissas &amp; Cenários'!$B$107)</f>
        <v/>
      </c>
      <c r="J26" s="139">
        <f>I26*'Premissas &amp; Cenários'!$B$45</f>
        <v/>
      </c>
      <c r="K26" s="139">
        <f>MAX(0,I26-'Premissas &amp; Cenários'!$B$46)*'Premissas &amp; Cenários'!$B$47</f>
        <v/>
      </c>
      <c r="L26" s="139">
        <f>MAX(0,D26*'Premissas &amp; Cenários'!$B$48+IF(AND(B26=2026,C26=1),0,H26*'Premissas &amp; Cenários'!$B$48*'Premissas &amp; Cenários'!$B$107))</f>
        <v/>
      </c>
      <c r="M26" s="139">
        <f>L26*'Premissas &amp; Cenários'!$B$49</f>
        <v/>
      </c>
      <c r="N26" s="139">
        <f>J26+K26+M26</f>
        <v/>
      </c>
    </row>
    <row r="27">
      <c r="A27" s="122" t="inlineStr">
        <is>
          <t>Total</t>
        </is>
      </c>
      <c r="D27" s="141">
        <f>SUM(D7:D26)</f>
        <v/>
      </c>
      <c r="H27" s="141">
        <f>SUM(H7:H26)</f>
        <v/>
      </c>
      <c r="I27" s="141">
        <f>SUM(I7:I26)</f>
        <v/>
      </c>
      <c r="J27" s="141">
        <f>SUM(J7:J26)</f>
        <v/>
      </c>
      <c r="K27" s="141">
        <f>SUM(K7:K26)</f>
        <v/>
      </c>
      <c r="L27" s="141">
        <f>SUM(L7:L26)</f>
        <v/>
      </c>
      <c r="M27" s="141">
        <f>SUM(M7:M26)</f>
        <v/>
      </c>
      <c r="N27" s="141">
        <f>SUM(N7:N26)</f>
        <v/>
      </c>
    </row>
    <row r="28">
      <c r="A28" s="122" t="inlineStr">
        <is>
          <t>Check receita</t>
        </is>
      </c>
      <c r="D28" s="141">
        <f>D27-Fluxo_Incorporacao!$B$103</f>
        <v/>
      </c>
      <c r="E28" s="119" t="inlineStr">
        <is>
          <t>Receita trimestral menos recebimentos do fluxo; deve ser zero.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42" t="inlineStr">
        <is>
          <t>Comparativo — regime regular × RET de transição (art. 485)</t>
        </is>
      </c>
      <c r="B1" s="143" t="n"/>
      <c r="C1" s="143" t="n"/>
      <c r="D1" s="143" t="n"/>
      <c r="E1" s="143" t="n"/>
      <c r="F1" s="143" t="n"/>
      <c r="G1" s="143" t="n"/>
      <c r="H1" s="143" t="n"/>
    </row>
    <row r="2"/>
    <row r="3">
      <c r="A3" s="119" t="inlineStr">
        <is>
          <t>Carga tributária do cenário ativo por ano de recebimento. RET: opção efetivada antes de 01/01/2029, com patrimônio de afetação e sem créditos.</t>
        </is>
      </c>
    </row>
    <row r="4">
      <c r="A4" s="122">
        <f>IF('Matriz Normativa &amp; Governança'!$C$8&lt;&gt;"Transição temporal","ATENÇÃO: selecione o modo Transição temporal na aba Matriz Normativa &amp; Governança para este comparativo valer.","Modo Transição temporal ativo: comparativo válido.")</f>
        <v/>
      </c>
    </row>
    <row r="5"/>
    <row r="6">
      <c r="A6" s="127" t="inlineStr">
        <is>
          <t>Rubrica</t>
        </is>
      </c>
      <c r="B6" s="127">
        <f>'Premissas &amp; Cenários'!$B$50+0</f>
        <v/>
      </c>
      <c r="C6" s="127">
        <f>'Premissas &amp; Cenários'!$B$50+1</f>
        <v/>
      </c>
      <c r="D6" s="127">
        <f>'Premissas &amp; Cenários'!$B$50+2</f>
        <v/>
      </c>
      <c r="E6" s="127">
        <f>'Premissas &amp; Cenários'!$B$50+3</f>
        <v/>
      </c>
      <c r="F6" s="127">
        <f>'Premissas &amp; Cenários'!$B$50+4</f>
        <v/>
      </c>
      <c r="G6" s="127" t="inlineStr">
        <is>
          <t>Total</t>
        </is>
      </c>
      <c r="H6" s="127" t="inlineStr">
        <is>
          <t>Valor presente</t>
        </is>
      </c>
    </row>
    <row r="7">
      <c r="A7" s="123" t="inlineStr">
        <is>
          <t>Recebimentos (VGV tributável)</t>
        </is>
      </c>
      <c r="B7" s="140">
        <f>IFERROR(SUMIFS(Fluxo_Incorporacao!$B$43:$B$102,Fluxo_Incorporacao!$N$43:$N$102,B$6),0)</f>
        <v/>
      </c>
      <c r="C7" s="140">
        <f>IFERROR(SUMIFS(Fluxo_Incorporacao!$B$43:$B$102,Fluxo_Incorporacao!$N$43:$N$102,C$6),0)</f>
        <v/>
      </c>
      <c r="D7" s="140">
        <f>IFERROR(SUMIFS(Fluxo_Incorporacao!$B$43:$B$102,Fluxo_Incorporacao!$N$43:$N$102,D$6),0)</f>
        <v/>
      </c>
      <c r="E7" s="140">
        <f>IFERROR(SUMIFS(Fluxo_Incorporacao!$B$43:$B$102,Fluxo_Incorporacao!$N$43:$N$102,E$6),0)</f>
        <v/>
      </c>
      <c r="F7" s="140">
        <f>IFERROR(SUMIFS(Fluxo_Incorporacao!$B$43:$B$102,Fluxo_Incorporacao!$N$43:$N$102,F$6),0)</f>
        <v/>
      </c>
      <c r="G7" s="139">
        <f>SUM(B7:F7)</f>
        <v/>
      </c>
      <c r="H7" s="139">
        <f>B7/(1+'Premissas &amp; Cenários'!$B$115)^0.5+C7/(1+'Premissas &amp; Cenários'!$B$115)^1.5+D7/(1+'Premissas &amp; Cenários'!$B$115)^2.5+E7/(1+'Premissas &amp; Cenários'!$B$115)^3.5+F7/(1+'Premissas &amp; Cenários'!$B$115)^4.5</f>
        <v/>
      </c>
    </row>
    <row r="8"/>
    <row r="9">
      <c r="A9" s="120" t="inlineStr">
        <is>
          <t>A) Regime regular — regime específico de imóveis (LC 214) + Lucro Presumido</t>
        </is>
      </c>
      <c r="B9" s="121" t="n"/>
      <c r="C9" s="121" t="n"/>
      <c r="D9" s="121" t="n"/>
      <c r="E9" s="121" t="n"/>
      <c r="F9" s="121" t="n"/>
      <c r="G9" s="121" t="n"/>
      <c r="H9" s="121" t="n"/>
    </row>
    <row r="10">
      <c r="A10" s="123" t="inlineStr">
        <is>
          <t>PIS/Cofins cumulativo (2026)</t>
        </is>
      </c>
      <c r="B10" s="140">
        <f>IFERROR(SUMIFS(Fluxo_Incorporacao!$R$43:$R$102,Fluxo_Incorporacao!$N$43:$N$102,B$6),0)</f>
        <v/>
      </c>
      <c r="C10" s="140">
        <f>IFERROR(SUMIFS(Fluxo_Incorporacao!$R$43:$R$102,Fluxo_Incorporacao!$N$43:$N$102,C$6),0)</f>
        <v/>
      </c>
      <c r="D10" s="140">
        <f>IFERROR(SUMIFS(Fluxo_Incorporacao!$R$43:$R$102,Fluxo_Incorporacao!$N$43:$N$102,D$6),0)</f>
        <v/>
      </c>
      <c r="E10" s="140">
        <f>IFERROR(SUMIFS(Fluxo_Incorporacao!$R$43:$R$102,Fluxo_Incorporacao!$N$43:$N$102,E$6),0)</f>
        <v/>
      </c>
      <c r="F10" s="140">
        <f>IFERROR(SUMIFS(Fluxo_Incorporacao!$R$43:$R$102,Fluxo_Incorporacao!$N$43:$N$102,F$6),0)</f>
        <v/>
      </c>
      <c r="G10" s="139">
        <f>SUM(B10:F10)</f>
        <v/>
      </c>
      <c r="H10" s="139">
        <f>B10/(1+'Premissas &amp; Cenários'!$B$115)^0.5+C10/(1+'Premissas &amp; Cenários'!$B$115)^1.5+D10/(1+'Premissas &amp; Cenários'!$B$115)^2.5+E10/(1+'Premissas &amp; Cenários'!$B$115)^3.5+F10/(1+'Premissas &amp; Cenários'!$B$115)^4.5</f>
        <v/>
      </c>
    </row>
    <row r="11">
      <c r="A11" s="123" t="inlineStr">
        <is>
          <t>IBS + CBS recolhido (após créditos)</t>
        </is>
      </c>
      <c r="B11" s="140">
        <f>IFERROR(SUMIFS(Fluxo_Incorporacao!$J$43:$J$102,Fluxo_Incorporacao!$N$43:$N$102,B$6),0)</f>
        <v/>
      </c>
      <c r="C11" s="140">
        <f>IFERROR(SUMIFS(Fluxo_Incorporacao!$J$43:$J$102,Fluxo_Incorporacao!$N$43:$N$102,C$6),0)</f>
        <v/>
      </c>
      <c r="D11" s="140">
        <f>IFERROR(SUMIFS(Fluxo_Incorporacao!$J$43:$J$102,Fluxo_Incorporacao!$N$43:$N$102,D$6),0)</f>
        <v/>
      </c>
      <c r="E11" s="140">
        <f>IFERROR(SUMIFS(Fluxo_Incorporacao!$J$43:$J$102,Fluxo_Incorporacao!$N$43:$N$102,E$6),0)</f>
        <v/>
      </c>
      <c r="F11" s="140">
        <f>IFERROR(SUMIFS(Fluxo_Incorporacao!$J$43:$J$102,Fluxo_Incorporacao!$N$43:$N$102,F$6),0)</f>
        <v/>
      </c>
      <c r="G11" s="139">
        <f>SUM(B11:F11)</f>
        <v/>
      </c>
      <c r="H11" s="139">
        <f>B11/(1+'Premissas &amp; Cenários'!$B$115)^0.5+C11/(1+'Premissas &amp; Cenários'!$B$115)^1.5+D11/(1+'Premissas &amp; Cenários'!$B$115)^2.5+E11/(1+'Premissas &amp; Cenários'!$B$115)^3.5+F11/(1+'Premissas &amp; Cenários'!$B$115)^4.5</f>
        <v/>
      </c>
    </row>
    <row r="12">
      <c r="A12" s="123" t="inlineStr">
        <is>
          <t>IRPJ + CSLL (trimestral, LC 224)</t>
        </is>
      </c>
      <c r="B12" s="140">
        <f>IFERROR(SUMIFS('IRPJ_CSLL Trimestral'!$N$7:$N$26,'IRPJ_CSLL Trimestral'!$B$7:$B$26,B$6),0)</f>
        <v/>
      </c>
      <c r="C12" s="140">
        <f>IFERROR(SUMIFS('IRPJ_CSLL Trimestral'!$N$7:$N$26,'IRPJ_CSLL Trimestral'!$B$7:$B$26,C$6),0)</f>
        <v/>
      </c>
      <c r="D12" s="140">
        <f>IFERROR(SUMIFS('IRPJ_CSLL Trimestral'!$N$7:$N$26,'IRPJ_CSLL Trimestral'!$B$7:$B$26,D$6),0)</f>
        <v/>
      </c>
      <c r="E12" s="140">
        <f>IFERROR(SUMIFS('IRPJ_CSLL Trimestral'!$N$7:$N$26,'IRPJ_CSLL Trimestral'!$B$7:$B$26,E$6),0)</f>
        <v/>
      </c>
      <c r="F12" s="140">
        <f>IFERROR(SUMIFS('IRPJ_CSLL Trimestral'!$N$7:$N$26,'IRPJ_CSLL Trimestral'!$B$7:$B$26,F$6),0)</f>
        <v/>
      </c>
      <c r="G12" s="139">
        <f>SUM(B12:F12)</f>
        <v/>
      </c>
      <c r="H12" s="139">
        <f>B12/(1+'Premissas &amp; Cenários'!$B$115)^0.5+C12/(1+'Premissas &amp; Cenários'!$B$115)^1.5+D12/(1+'Premissas &amp; Cenários'!$B$115)^2.5+E12/(1+'Premissas &amp; Cenários'!$B$115)^3.5+F12/(1+'Premissas &amp; Cenários'!$B$115)^4.5</f>
        <v/>
      </c>
    </row>
    <row r="13">
      <c r="A13" s="122" t="inlineStr">
        <is>
          <t>Total — regime regular</t>
        </is>
      </c>
      <c r="B13" s="141">
        <f>SUM(B10:B12)</f>
        <v/>
      </c>
      <c r="C13" s="141">
        <f>SUM(C10:C12)</f>
        <v/>
      </c>
      <c r="D13" s="141">
        <f>SUM(D10:D12)</f>
        <v/>
      </c>
      <c r="E13" s="141">
        <f>SUM(E10:E12)</f>
        <v/>
      </c>
      <c r="F13" s="141">
        <f>SUM(F10:F12)</f>
        <v/>
      </c>
      <c r="G13" s="141">
        <f>SUM(B13:F13)</f>
        <v/>
      </c>
      <c r="H13" s="141">
        <f>B13/(1+'Premissas &amp; Cenários'!$B$115)^0.5+C13/(1+'Premissas &amp; Cenários'!$B$115)^1.5+D13/(1+'Premissas &amp; Cenários'!$B$115)^2.5+E13/(1+'Premissas &amp; Cenários'!$B$115)^3.5+F13/(1+'Premissas &amp; Cenários'!$B$115)^4.5</f>
        <v/>
      </c>
    </row>
    <row r="14">
      <c r="A14" s="123" t="inlineStr">
        <is>
          <t>% sobre recebimentos</t>
        </is>
      </c>
      <c r="B14" s="133">
        <f>IFERROR(B13/B7,0)</f>
        <v/>
      </c>
      <c r="C14" s="133">
        <f>IFERROR(C13/C7,0)</f>
        <v/>
      </c>
      <c r="D14" s="133">
        <f>IFERROR(D13/D7,0)</f>
        <v/>
      </c>
      <c r="E14" s="133">
        <f>IFERROR(E13/E7,0)</f>
        <v/>
      </c>
      <c r="F14" s="133">
        <f>IFERROR(F13/F7,0)</f>
        <v/>
      </c>
      <c r="G14" s="133">
        <f>IFERROR(G13/G7,0)</f>
        <v/>
      </c>
    </row>
    <row r="15"/>
    <row r="16">
      <c r="A16" s="120" t="inlineStr">
        <is>
          <t>B) RET de transição — art. 485 da LC 214</t>
        </is>
      </c>
      <c r="B16" s="121" t="n"/>
      <c r="C16" s="121" t="n"/>
      <c r="D16" s="121" t="n"/>
      <c r="E16" s="121" t="n"/>
      <c r="F16" s="121" t="n"/>
      <c r="G16" s="121" t="n"/>
      <c r="H16" s="121" t="n"/>
    </row>
    <row r="17">
      <c r="A17" s="123" t="inlineStr">
        <is>
          <t>RET — IRPJ + CSLL</t>
        </is>
      </c>
      <c r="B17" s="139">
        <f>B7*'Premissas &amp; Cenários'!$B$113</f>
        <v/>
      </c>
      <c r="C17" s="139">
        <f>C7*'Premissas &amp; Cenários'!$B$113</f>
        <v/>
      </c>
      <c r="D17" s="139">
        <f>D7*'Premissas &amp; Cenários'!$B$113</f>
        <v/>
      </c>
      <c r="E17" s="139">
        <f>E7*'Premissas &amp; Cenários'!$B$113</f>
        <v/>
      </c>
      <c r="F17" s="139">
        <f>F7*'Premissas &amp; Cenários'!$B$113</f>
        <v/>
      </c>
      <c r="G17" s="139">
        <f>SUM(B17:F17)</f>
        <v/>
      </c>
      <c r="H17" s="139">
        <f>B17/(1+'Premissas &amp; Cenários'!$B$115)^0.5+C17/(1+'Premissas &amp; Cenários'!$B$115)^1.5+D17/(1+'Premissas &amp; Cenários'!$B$115)^2.5+E17/(1+'Premissas &amp; Cenários'!$B$115)^3.5+F17/(1+'Premissas &amp; Cenários'!$B$115)^4.5</f>
        <v/>
      </c>
    </row>
    <row r="18">
      <c r="A18" s="123" t="inlineStr">
        <is>
          <t>RET — PIS/Cofins (2026) e IBS + CBS (2027 em diante)</t>
        </is>
      </c>
      <c r="B18" s="139">
        <f>B7*'Premissas &amp; Cenários'!$B$114</f>
        <v/>
      </c>
      <c r="C18" s="139">
        <f>C7*'Premissas &amp; Cenários'!$B$114</f>
        <v/>
      </c>
      <c r="D18" s="139">
        <f>D7*'Premissas &amp; Cenários'!$B$114</f>
        <v/>
      </c>
      <c r="E18" s="139">
        <f>E7*'Premissas &amp; Cenários'!$B$114</f>
        <v/>
      </c>
      <c r="F18" s="139">
        <f>F7*'Premissas &amp; Cenários'!$B$114</f>
        <v/>
      </c>
      <c r="G18" s="139">
        <f>SUM(B18:F18)</f>
        <v/>
      </c>
      <c r="H18" s="139">
        <f>B18/(1+'Premissas &amp; Cenários'!$B$115)^0.5+C18/(1+'Premissas &amp; Cenários'!$B$115)^1.5+D18/(1+'Premissas &amp; Cenários'!$B$115)^2.5+E18/(1+'Premissas &amp; Cenários'!$B$115)^3.5+F18/(1+'Premissas &amp; Cenários'!$B$115)^4.5</f>
        <v/>
      </c>
    </row>
    <row r="19">
      <c r="A19" s="122" t="inlineStr">
        <is>
          <t>Total — RET</t>
        </is>
      </c>
      <c r="B19" s="141">
        <f>B17+B18</f>
        <v/>
      </c>
      <c r="C19" s="141">
        <f>C17+C18</f>
        <v/>
      </c>
      <c r="D19" s="141">
        <f>D17+D18</f>
        <v/>
      </c>
      <c r="E19" s="141">
        <f>E17+E18</f>
        <v/>
      </c>
      <c r="F19" s="141">
        <f>F17+F18</f>
        <v/>
      </c>
      <c r="G19" s="141">
        <f>SUM(B19:F19)</f>
        <v/>
      </c>
      <c r="H19" s="141">
        <f>B19/(1+'Premissas &amp; Cenários'!$B$115)^0.5+C19/(1+'Premissas &amp; Cenários'!$B$115)^1.5+D19/(1+'Premissas &amp; Cenários'!$B$115)^2.5+E19/(1+'Premissas &amp; Cenários'!$B$115)^3.5+F19/(1+'Premissas &amp; Cenários'!$B$115)^4.5</f>
        <v/>
      </c>
    </row>
    <row r="20">
      <c r="A20" s="123" t="inlineStr">
        <is>
          <t>% sobre recebimentos</t>
        </is>
      </c>
      <c r="B20" s="133">
        <f>IFERROR(B19/B7,0)</f>
        <v/>
      </c>
      <c r="C20" s="133">
        <f>IFERROR(C19/C7,0)</f>
        <v/>
      </c>
      <c r="D20" s="133">
        <f>IFERROR(D19/D7,0)</f>
        <v/>
      </c>
      <c r="E20" s="133">
        <f>IFERROR(E19/E7,0)</f>
        <v/>
      </c>
      <c r="F20" s="133">
        <f>IFERROR(F19/F7,0)</f>
        <v/>
      </c>
      <c r="G20" s="133">
        <f>IFERROR(G19/G7,0)</f>
        <v/>
      </c>
    </row>
    <row r="21"/>
    <row r="22">
      <c r="A22" s="122" t="inlineStr">
        <is>
          <t>Diferença: regime regular − RET (positivo = RET paga menos)</t>
        </is>
      </c>
      <c r="B22" s="141">
        <f>B13-B19</f>
        <v/>
      </c>
      <c r="C22" s="141">
        <f>C13-C19</f>
        <v/>
      </c>
      <c r="D22" s="141">
        <f>D13-D19</f>
        <v/>
      </c>
      <c r="E22" s="141">
        <f>E13-E19</f>
        <v/>
      </c>
      <c r="F22" s="141">
        <f>F13-F19</f>
        <v/>
      </c>
      <c r="G22" s="141">
        <f>SUM(B22:F22)</f>
        <v/>
      </c>
      <c r="H22" s="141">
        <f>B22/(1+'Premissas &amp; Cenários'!$B$115)^0.5+C22/(1+'Premissas &amp; Cenários'!$B$115)^1.5+D22/(1+'Premissas &amp; Cenários'!$B$115)^2.5+E22/(1+'Premissas &amp; Cenários'!$B$115)^3.5+F22/(1+'Premissas &amp; Cenários'!$B$115)^4.5</f>
        <v/>
      </c>
    </row>
    <row r="23">
      <c r="A23" s="122" t="inlineStr">
        <is>
          <t>Regime com menor carga no ciclo</t>
        </is>
      </c>
      <c r="B23" s="122">
        <f>IF(H22&gt;0,"RET de transição (art. 485)","Regime regular")</f>
        <v/>
      </c>
    </row>
    <row r="24">
      <c r="A24" s="123" t="inlineStr">
        <is>
          <t>Saldo credor de IBS/CBS ao fim do ciclo (regime regular; não incluído acima)</t>
        </is>
      </c>
      <c r="G24" s="140">
        <f>Fluxo_Incorporacao!$K$102</f>
        <v/>
      </c>
    </row>
    <row r="25"/>
    <row r="26">
      <c r="A26" s="122" t="inlineStr">
        <is>
          <t>Notas</t>
        </is>
      </c>
    </row>
    <row r="27">
      <c r="A27" s="119" t="inlineStr">
        <is>
          <t>• No RET a apropriação de créditos de IBS/CBS é vedada; por isso o custo de obra fica pelo valor bruto e só os tributos pagos são comparados.</t>
        </is>
      </c>
    </row>
    <row r="28">
      <c r="A28" s="119" t="inlineStr">
        <is>
          <t>• O RET de transição exige patrimônio de afetação e opção efetivada antes de 01/01/2029; incorporação de interesse social: 1% (Premissas, B111).</t>
        </is>
      </c>
    </row>
    <row r="29">
      <c r="A29" s="119" t="inlineStr">
        <is>
          <t>• O saldo credor do regime regular é ativo a ressarcir: só tem valor se houver ressarcimento ou uso em outras operações da SPE.</t>
        </is>
      </c>
    </row>
    <row r="30">
      <c r="A30" s="119" t="inlineStr">
        <is>
          <t>• IRPJ/CSLL do regime regular pelo Lucro Presumido; Lucro Real não está modelado.</t>
        </is>
      </c>
    </row>
    <row r="31">
      <c r="A31" s="119" t="inlineStr">
        <is>
          <t>• Tratamento da permuta física no RET (receita para fins do regime) deve ser validado antes do uso.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zoomScale="80" zoomScaleNormal="80" workbookViewId="0">
      <selection activeCell="A1" sqref="A1"/>
    </sheetView>
  </sheetViews>
  <sheetFormatPr baseColWidth="8" defaultColWidth="8.5703125" defaultRowHeight="15"/>
  <cols>
    <col width="94.5703125" customWidth="1" min="1" max="1"/>
    <col width="12" bestFit="1" customWidth="1" min="2" max="3"/>
    <col width="13.7109375" bestFit="1" customWidth="1" min="4" max="4"/>
    <col width="17.85546875" customWidth="1" min="5" max="5"/>
    <col width="56.28515625" bestFit="1" customWidth="1" min="6" max="6"/>
  </cols>
  <sheetData>
    <row r="1" ht="20.25" customHeight="1">
      <c r="A1" s="1" t="inlineStr">
        <is>
          <t>Relatório</t>
        </is>
      </c>
      <c r="B1" s="2" t="n"/>
      <c r="C1" s="2" t="n"/>
      <c r="D1" s="2" t="n"/>
      <c r="E1" s="2" t="n"/>
      <c r="F1" s="2" t="n"/>
    </row>
    <row r="2"/>
    <row r="3">
      <c r="A3" s="3" t="inlineStr">
        <is>
          <t>Relatório de análise contábil-tributária do simulador — versão 4.</t>
        </is>
      </c>
    </row>
    <row r="4">
      <c r="A4" s="111" t="inlineStr">
        <is>
          <t>Fundamentos normativos listados na Matriz Normativa; validação profissional necessária antes de uso fiscal.</t>
        </is>
      </c>
    </row>
    <row r="5"/>
    <row r="6" ht="16.5" customHeight="1" thickBot="1">
      <c r="A6" s="8" t="inlineStr">
        <is>
          <t>Resultados por cenário</t>
        </is>
      </c>
      <c r="B6" s="9" t="n"/>
      <c r="C6" s="9" t="n"/>
      <c r="D6" s="9" t="n"/>
      <c r="E6" s="9" t="n"/>
      <c r="F6" s="9" t="n"/>
    </row>
    <row r="7" ht="15.75" customHeight="1" thickBot="1">
      <c r="A7" s="18" t="inlineStr">
        <is>
          <t>Indicador</t>
        </is>
      </c>
      <c r="B7" s="18" t="inlineStr">
        <is>
          <t>Otimista</t>
        </is>
      </c>
      <c r="C7" s="18" t="inlineStr">
        <is>
          <t>Base</t>
        </is>
      </c>
      <c r="D7" s="18" t="inlineStr">
        <is>
          <t>Pessimista</t>
        </is>
      </c>
      <c r="E7" s="18" t="inlineStr">
        <is>
          <t>Ativo</t>
        </is>
      </c>
      <c r="F7" s="18" t="inlineStr">
        <is>
          <t>Leitura</t>
        </is>
      </c>
    </row>
    <row r="8">
      <c r="A8" s="19" t="inlineStr">
        <is>
          <t>RAJ do terreno</t>
        </is>
      </c>
      <c r="B8" s="21">
        <f>'Premissas &amp; Cenários'!$B$57</f>
        <v/>
      </c>
      <c r="C8" s="21">
        <f>'Premissas &amp; Cenários'!$C$57</f>
        <v/>
      </c>
      <c r="D8" s="21">
        <f>'Premissas &amp; Cenários'!$D$57</f>
        <v/>
      </c>
      <c r="E8" s="51">
        <f>Fluxo_Incorporacao!$C$28</f>
        <v/>
      </c>
      <c r="F8" s="27" t="inlineStr">
        <is>
          <t>Maior RAJ reduz a base final de cálculo.</t>
        </is>
      </c>
    </row>
    <row r="9">
      <c r="A9" s="19" t="inlineStr">
        <is>
          <t>Base tributável final</t>
        </is>
      </c>
      <c r="B9" s="21">
        <f>'Premissas &amp; Cenários'!$B$67</f>
        <v/>
      </c>
      <c r="C9" s="21">
        <f>'Premissas &amp; Cenários'!$C$67</f>
        <v/>
      </c>
      <c r="D9" s="21">
        <f>'Premissas &amp; Cenários'!$D$67</f>
        <v/>
      </c>
      <c r="E9" s="51">
        <f>Fluxo_Incorporacao!$C$31</f>
        <v/>
      </c>
      <c r="F9" s="27" t="inlineStr">
        <is>
          <t>Base após RAJ e redutor social.</t>
        </is>
      </c>
    </row>
    <row r="10">
      <c r="A10" s="19" t="inlineStr">
        <is>
          <t>Débito total IBS + CBS</t>
        </is>
      </c>
      <c r="B10" s="21">
        <f>'Premissas &amp; Cenários'!$B$68</f>
        <v/>
      </c>
      <c r="C10" s="21">
        <f>'Premissas &amp; Cenários'!$C$68</f>
        <v/>
      </c>
      <c r="D10" s="21">
        <f>'Premissas &amp; Cenários'!$D$68</f>
        <v/>
      </c>
      <c r="E10" s="51">
        <f>Fluxo_Incorporacao!$C$33</f>
        <v/>
      </c>
      <c r="F10" s="27" t="inlineStr">
        <is>
          <t>Débito sobre a base final, no modo de cálculo selecionado.</t>
        </is>
      </c>
    </row>
    <row r="11">
      <c r="A11" s="19" t="inlineStr">
        <is>
          <t>Créditos totais do projeto</t>
        </is>
      </c>
      <c r="B11" s="21">
        <f>'Premissas &amp; Cenários'!$B$72</f>
        <v/>
      </c>
      <c r="C11" s="21">
        <f>'Premissas &amp; Cenários'!$C$72</f>
        <v/>
      </c>
      <c r="D11" s="21">
        <f>'Premissas &amp; Cenários'!$D$72</f>
        <v/>
      </c>
      <c r="E11" s="51">
        <f>Fluxo_Incorporacao!$C$36</f>
        <v/>
      </c>
      <c r="F11" s="27" t="inlineStr">
        <is>
          <t>Créditos de obra e despesas.</t>
        </is>
      </c>
    </row>
    <row r="12">
      <c r="A12" s="10" t="inlineStr">
        <is>
          <t>Imposto líquido a pagar</t>
        </is>
      </c>
      <c r="B12" s="80">
        <f>'Premissas &amp; Cenários'!$B$73</f>
        <v/>
      </c>
      <c r="C12" s="80">
        <f>'Premissas &amp; Cenários'!$C$73</f>
        <v/>
      </c>
      <c r="D12" s="80">
        <f>'Premissas &amp; Cenários'!$D$73</f>
        <v/>
      </c>
      <c r="E12" s="71">
        <f>Fluxo_Incorporacao!$C$38</f>
        <v/>
      </c>
      <c r="F12" s="27" t="inlineStr">
        <is>
          <t>Débito menos créditos, limitado a zero.</t>
        </is>
      </c>
    </row>
    <row r="13">
      <c r="A13" s="10" t="inlineStr">
        <is>
          <t>Saldo credor final</t>
        </is>
      </c>
      <c r="B13" s="80">
        <f>'Premissas &amp; Cenários'!$B$74</f>
        <v/>
      </c>
      <c r="C13" s="80">
        <f>'Premissas &amp; Cenários'!$C$74</f>
        <v/>
      </c>
      <c r="D13" s="80">
        <f>'Premissas &amp; Cenários'!$D$74</f>
        <v/>
      </c>
      <c r="E13" s="71">
        <f>Fluxo_Incorporacao!$C$37</f>
        <v/>
      </c>
      <c r="F13" s="27" t="inlineStr">
        <is>
          <t>Créditos excedentes ao débito.</t>
        </is>
      </c>
    </row>
    <row r="14">
      <c r="A14" s="10" t="inlineStr">
        <is>
          <t>EBITDA</t>
        </is>
      </c>
      <c r="B14" s="80">
        <f>'DRE Empreendimento'!B23</f>
        <v/>
      </c>
      <c r="C14" s="80">
        <f>'DRE Empreendimento'!C23</f>
        <v/>
      </c>
      <c r="D14" s="80">
        <f>'DRE Empreendimento'!D23</f>
        <v/>
      </c>
      <c r="E14" s="71">
        <f>'DRE Empreendimento'!E23</f>
        <v/>
      </c>
      <c r="F14" s="27" t="inlineStr">
        <is>
          <t>Resultado operacional após créditos de obra e despesas.</t>
        </is>
      </c>
    </row>
    <row r="15">
      <c r="A15" s="10" t="inlineStr">
        <is>
          <t>Lucro líquido</t>
        </is>
      </c>
      <c r="B15" s="80">
        <f>'DRE Empreendimento'!B31</f>
        <v/>
      </c>
      <c r="C15" s="80">
        <f>'DRE Empreendimento'!C31</f>
        <v/>
      </c>
      <c r="D15" s="80">
        <f>'DRE Empreendimento'!D31</f>
        <v/>
      </c>
      <c r="E15" s="71">
        <f>'DRE Empreendimento'!E31</f>
        <v/>
      </c>
      <c r="F15" s="27" t="inlineStr">
        <is>
          <t>Resultado após IRPJ e CSLL conforme premissas.</t>
        </is>
      </c>
    </row>
    <row r="16">
      <c r="A16" s="10" t="inlineStr">
        <is>
          <t>Margem líquida</t>
        </is>
      </c>
      <c r="B16" s="81">
        <f>'DRE Empreendimento'!B32</f>
        <v/>
      </c>
      <c r="C16" s="81">
        <f>'DRE Empreendimento'!C32</f>
        <v/>
      </c>
      <c r="D16" s="81">
        <f>'DRE Empreendimento'!D32</f>
        <v/>
      </c>
      <c r="E16" s="82">
        <f>'DRE Empreendimento'!E32</f>
        <v/>
      </c>
      <c r="F16" s="27" t="inlineStr">
        <is>
          <t>Lucro líquido dividido pela receita bruta.</t>
        </is>
      </c>
    </row>
    <row r="17"/>
    <row r="18"/>
    <row r="19" ht="15.75" customHeight="1">
      <c r="A19" s="8" t="inlineStr">
        <is>
          <t>Conclusões da revisão estrutural</t>
        </is>
      </c>
      <c r="B19" s="9" t="n"/>
      <c r="C19" s="9" t="n"/>
      <c r="D19" s="9" t="n"/>
      <c r="E19" s="9" t="n"/>
      <c r="F19" s="9" t="n"/>
    </row>
    <row r="20"/>
    <row r="21" ht="25.5" customHeight="1">
      <c r="A21" s="27" t="inlineStr">
        <is>
          <t>A arquitetura tem quatro camadas: premissas, parâmetros ativos, cronograma mensal e demonstrativos. O cenário ativo é escolhido numa única célula com validação de dados.</t>
        </is>
      </c>
    </row>
    <row r="22" ht="38.25" customHeight="1">
      <c r="A22" s="27" t="inlineStr">
        <is>
          <t>Crédito de obra: a v3 aplicava 27% sobre todo o custo. A v4 separa materiais (alíquota padrão), serviços de construção terceirizados (alíquota reduzida do art. 261) e eventual folha própria de obra (sem crédito), ponderando fornecedores do Simples.</t>
        </is>
      </c>
    </row>
    <row r="23" ht="25.5" customHeight="1">
      <c r="A23" s="27" t="inlineStr">
        <is>
          <t>Valores com tributo embutido: débito e créditos calculados por fora (a ÷ (1 + a)). O cronograma mensal aplica a alíquota de cada ano da transição ao débito e aos créditos.</t>
        </is>
      </c>
    </row>
    <row r="24" ht="25.5" customHeight="1">
      <c r="A24" s="27" t="inlineStr">
        <is>
          <t>IRPJ e CSLL apurados por trimestre com a LC 224/2025; a DRE anualizada usa SUMIFS sobre o cronograma e sobre a apuração trimestral.</t>
        </is>
      </c>
    </row>
    <row r="25" ht="25.5" customHeight="1">
      <c r="A25" s="27" t="inlineStr">
        <is>
          <t>A aba Comparativo RET mostra a carga do regime regular contra o RET de transição (art. 485). A DRE ganhou a visão societária da permuta física (OCPC 01).</t>
        </is>
      </c>
    </row>
    <row r="26"/>
    <row r="27"/>
    <row r="28" ht="15.75" customHeight="1">
      <c r="A28" s="8" t="inlineStr">
        <is>
          <t>Referências normativas preservadas do material recebido</t>
        </is>
      </c>
      <c r="B28" s="9" t="n"/>
      <c r="C28" s="9" t="n"/>
      <c r="D28" s="9" t="n"/>
      <c r="E28" s="9" t="n"/>
      <c r="F28" s="9" t="n"/>
    </row>
    <row r="29"/>
    <row r="30">
      <c r="A30" s="27" t="inlineStr">
        <is>
          <t>Art. 13 — alíquota padrão combinada de IBS + CBS (premissa editável).</t>
        </is>
      </c>
    </row>
    <row r="31">
      <c r="A31" s="27" t="inlineStr">
        <is>
          <t>Art. 47 — créditos de aquisição, ponderados pelo regime do fornecedor.</t>
        </is>
      </c>
    </row>
    <row r="32">
      <c r="A32" s="27" t="inlineStr">
        <is>
          <t>Art. 127 — redução de 30% para profissões intelectuais regulamentadas (projetos e jurídico).</t>
        </is>
      </c>
    </row>
    <row r="33">
      <c r="A33" s="27" t="inlineStr">
        <is>
          <t>Arts. 252, §2º; 257 e 258 — permuta (tributa só a torna) e redutor de ajuste do terreno.</t>
        </is>
      </c>
    </row>
    <row r="34">
      <c r="A34" s="27" t="inlineStr">
        <is>
          <t>Arts. 259 e 260 — redutor social por unidade residencial nova ou lote residencial.</t>
        </is>
      </c>
    </row>
    <row r="35" ht="25.5" customHeight="1">
      <c r="A35" s="27" t="inlineStr">
        <is>
          <t>Art. 261 — redução de 50% (venda, construção, intermediação) e 70% (locação).</t>
        </is>
      </c>
    </row>
    <row r="36">
      <c r="A36" s="27" t="inlineStr">
        <is>
          <t>Arts. 262, 348 e 485 — regime de caixa, ano-teste de 2026 e RET de transição; LC 224/2025 no Lucro Presumido.</t>
        </is>
      </c>
    </row>
    <row r="37"/>
    <row r="38" ht="26.25" customHeight="1">
      <c r="A38" s="16" t="inlineStr">
        <is>
          <t>Status de uso consultivo</t>
        </is>
      </c>
      <c r="B38" s="114">
        <f>'Matriz Normativa &amp; Governança'!$G$13</f>
        <v/>
      </c>
      <c r="F38" s="7" t="inlineStr">
        <is>
          <t>O gate permanece bloqueado até completar transição, cadastro unitário, documentação de créditos/RAJ e revisão normativa.</t>
        </is>
      </c>
    </row>
    <row r="39"/>
    <row r="40">
      <c r="A40" s="120" t="inlineStr">
        <is>
          <t>Alterações da versão 4</t>
        </is>
      </c>
    </row>
    <row r="41">
      <c r="A41" s="119" t="inlineStr">
        <is>
          <t>• Crédito de obra por composição de custo (Premissas, linhas 89 a 93).</t>
        </is>
      </c>
    </row>
    <row r="42">
      <c r="A42" s="119" t="inlineStr">
        <is>
          <t>• Crédito de despesas por categoria, com alíquota do fornecedor e parcela da base com crédito (linhas 97 a 102).</t>
        </is>
      </c>
    </row>
    <row r="43">
      <c r="A43" s="119" t="inlineStr">
        <is>
          <t>• Débito e créditos por fora, com tributo embutido nos valores informados.</t>
        </is>
      </c>
    </row>
    <row r="44">
      <c r="A44" s="119" t="inlineStr">
        <is>
          <t>• Tabela de transição 2026-2033 completa e usada como modo padrão; fator de crédito por ano e PIS/Cofins em 2026.</t>
        </is>
      </c>
    </row>
    <row r="45">
      <c r="A45" s="119" t="inlineStr">
        <is>
          <t>• Nova aba IRPJ_CSLL Trimestral com a majoração da LC 224/2025 (parâmetro para desligar).</t>
        </is>
      </c>
    </row>
    <row r="46">
      <c r="A46" s="119" t="inlineStr">
        <is>
          <t>• Nova aba Comparativo RET (art. 485).</t>
        </is>
      </c>
    </row>
    <row r="47">
      <c r="A47" s="119" t="inlineStr">
        <is>
          <t>• Visão societária da permuta física na DRE (OCPC 01) e matriz normativa ampliada.</t>
        </is>
      </c>
    </row>
  </sheetData>
  <mergeCells count="1">
    <mergeCell ref="B38:E38"/>
  </mergeCells>
  <pageMargins left="0.25" right="0.25" top="0.5" bottom="0.5" header="0.511811023622047" footer="0.2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showGridLines="0" zoomScale="80" zoomScaleNormal="80" workbookViewId="0">
      <selection activeCell="C25" sqref="C25"/>
    </sheetView>
  </sheetViews>
  <sheetFormatPr baseColWidth="8" defaultColWidth="8.5703125" defaultRowHeight="15"/>
  <cols>
    <col width="20" customWidth="1" min="1" max="1"/>
    <col width="44" customWidth="1" min="2" max="2"/>
    <col width="23" customWidth="1" min="3" max="3"/>
    <col width="26" customWidth="1" min="4" max="4"/>
    <col width="31" customWidth="1" min="5" max="5"/>
    <col width="44" customWidth="1" min="6" max="6"/>
    <col width="20" customWidth="1" min="7" max="7"/>
    <col width="44" customWidth="1" min="8" max="8"/>
    <col width="43" customWidth="1" min="9" max="9"/>
    <col width="16" customWidth="1" min="10" max="10"/>
    <col width="18" customWidth="1" min="11" max="11"/>
    <col width="18" customWidth="1" min="12" max="12"/>
  </cols>
  <sheetData>
    <row r="1" ht="20.25" customHeight="1">
      <c r="B1" s="1" t="inlineStr">
        <is>
          <t>Transição Tributária</t>
        </is>
      </c>
      <c r="C1" s="2" t="n"/>
      <c r="D1" s="2" t="n"/>
      <c r="E1" s="2" t="n"/>
      <c r="F1" s="2" t="n"/>
      <c r="G1" s="2" t="n"/>
      <c r="H1" s="2" t="n"/>
      <c r="I1" s="2" t="n"/>
    </row>
    <row r="2"/>
    <row r="3">
      <c r="B3" s="96" t="inlineStr">
        <is>
          <t>Motor temporal de alíquotas e status de carregamento normativo para o fluxo consultivo.</t>
        </is>
      </c>
    </row>
    <row r="4">
      <c r="B4" s="97" t="inlineStr">
        <is>
          <t>Percentuais em proporção. CBS e IBS derivam das alíquotas de referência em Premissas; atualizar quando forem fixadas oficialmente.</t>
        </is>
      </c>
    </row>
    <row r="5"/>
    <row r="6" ht="15.75" customHeight="1">
      <c r="A6" s="8" t="inlineStr">
        <is>
          <t>Regras de uso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/>
    <row r="8" ht="38.25" customHeight="1">
      <c r="A8" s="19" t="inlineStr">
        <is>
          <t>Modo consultivo</t>
        </is>
      </c>
      <c r="B8" s="83" t="inlineStr">
        <is>
          <t>O fluxo só utiliza esta tabela quando o modo na aba Matriz Normativa &amp; Governança estiver em “Transição temporal”.</t>
        </is>
      </c>
    </row>
    <row r="9" ht="38.25" customHeight="1">
      <c r="A9" s="19" t="inlineStr">
        <is>
          <t>Controle</t>
        </is>
      </c>
      <c r="B9" s="83" t="inlineStr">
        <is>
          <t>Células com status PENDENTE bloqueiam o status de prontidão para uso fiscal e exigem atualização normativa.</t>
        </is>
      </c>
    </row>
    <row r="10"/>
    <row r="11" ht="16.5" customHeight="1" thickBot="1">
      <c r="A11" s="8" t="inlineStr">
        <is>
          <t>Tabela anual de alíquotas e transição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6.25" customHeight="1" thickBot="1">
      <c r="A12" s="18" t="inlineStr">
        <is>
          <t>Ano</t>
        </is>
      </c>
      <c r="B12" s="18" t="inlineStr">
        <is>
          <t>CBS base / referência</t>
        </is>
      </c>
      <c r="C12" s="18" t="inlineStr">
        <is>
          <t>IBS base / referência</t>
        </is>
      </c>
      <c r="D12" s="18" t="inlineStr">
        <is>
          <t>Peso residual ICMS + ISS</t>
        </is>
      </c>
      <c r="E12" s="18" t="inlineStr">
        <is>
          <t>Redução imobiliária</t>
        </is>
      </c>
      <c r="F12" s="18" t="inlineStr">
        <is>
          <t>Alíquota efetiva setorial</t>
        </is>
      </c>
      <c r="G12" s="18" t="inlineStr">
        <is>
          <t>Aplicação no fluxo</t>
        </is>
      </c>
      <c r="H12" s="18" t="inlineStr">
        <is>
          <t>Fonte / observação</t>
        </is>
      </c>
      <c r="I12" s="18" t="inlineStr">
        <is>
          <t>Status</t>
        </is>
      </c>
      <c r="J12" s="18" t="inlineStr">
        <is>
          <t>Recolhimento dispensado?</t>
        </is>
      </c>
      <c r="K12" s="18" t="inlineStr">
        <is>
          <t>PIS/Cofins cumulativo (regime atual)</t>
        </is>
      </c>
      <c r="L12" s="18" t="inlineStr">
        <is>
          <t>Fator de crédito vs. alíquota plena</t>
        </is>
      </c>
    </row>
    <row r="13" ht="38.25" customHeight="1">
      <c r="A13" s="98" t="n">
        <v>2026</v>
      </c>
      <c r="B13" s="145" t="n">
        <v>0.008999999999999999</v>
      </c>
      <c r="C13" s="145" t="n">
        <v>0.001</v>
      </c>
      <c r="D13" s="99" t="n">
        <v>0</v>
      </c>
      <c r="E13" s="100">
        <f>'Premissas &amp; Cenários'!$B$34</f>
        <v/>
      </c>
      <c r="F13" s="146">
        <f>IF(OR(B13="",C13=""),"",IFERROR((B13+C13)*(1-E13),0))</f>
        <v/>
      </c>
      <c r="G13" s="146">
        <f>IF(F13="","",IF(J13="Sim",0,F13))</f>
        <v/>
      </c>
      <c r="H13" s="102" t="inlineStr">
        <is>
          <t>Ano-teste: CBS 0,9% e IBS 0,1%, dispensados para quem cumpre as obrigações acessórias (ADCT, art. 125, §4º). PIS/Cofins seguem vigentes.</t>
        </is>
      </c>
      <c r="I13" s="103">
        <f>IF(AND(B13&lt;&gt;"",C13&lt;&gt;""),"OK","PENDENTE")</f>
        <v/>
      </c>
      <c r="J13" s="130" t="inlineStr">
        <is>
          <t>Sim</t>
        </is>
      </c>
      <c r="K13" s="147">
        <f>'Premissas &amp; Cenários'!$B$110</f>
        <v/>
      </c>
      <c r="L13" s="126">
        <f>IF(J13="Sim",0,IFERROR(F13/'Premissas &amp; Cenários'!$B$35,0))</f>
        <v/>
      </c>
    </row>
    <row r="14" ht="25.5" customHeight="1">
      <c r="A14" s="104" t="n">
        <v>2027</v>
      </c>
      <c r="B14" s="148">
        <f>'Premissas &amp; Cenários'!$B$108-0.001</f>
        <v/>
      </c>
      <c r="C14" s="145" t="n">
        <v>0.001</v>
      </c>
      <c r="D14" s="106" t="n">
        <v>0</v>
      </c>
      <c r="E14" s="107">
        <f>'Premissas &amp; Cenários'!$B$34</f>
        <v/>
      </c>
      <c r="F14" s="149">
        <f>IF(OR(B14="",C14=""),"",IFERROR((B14+C14)*(1-E14),0))</f>
        <v/>
      </c>
      <c r="G14" s="149">
        <f>IF(F14="","",IF(J14="Sim",0,F14))</f>
        <v/>
      </c>
      <c r="H14" s="109" t="inlineStr">
        <is>
          <t>PIS/Cofins extintos; CBS = referência − 0,1 p.p.; IBS 0,1% (estadual 0,05% + municipal 0,05%).</t>
        </is>
      </c>
      <c r="I14" s="110">
        <f>IF(AND(B14&lt;&gt;"",C14&lt;&gt;""),"OK","PENDENTE")</f>
        <v/>
      </c>
      <c r="J14" s="130" t="inlineStr">
        <is>
          <t>Não</t>
        </is>
      </c>
      <c r="K14" s="132" t="n">
        <v>0</v>
      </c>
      <c r="L14" s="126">
        <f>IF(J14="Sim",0,IFERROR(F14/'Premissas &amp; Cenários'!$B$35,0))</f>
        <v/>
      </c>
    </row>
    <row r="15" ht="25.5" customHeight="1">
      <c r="A15" s="104" t="n">
        <v>2028</v>
      </c>
      <c r="B15" s="148">
        <f>'Premissas &amp; Cenários'!$B$108-0.001</f>
        <v/>
      </c>
      <c r="C15" s="145" t="n">
        <v>0.001</v>
      </c>
      <c r="D15" s="106" t="n">
        <v>0</v>
      </c>
      <c r="E15" s="107">
        <f>'Premissas &amp; Cenários'!$B$34</f>
        <v/>
      </c>
      <c r="F15" s="149">
        <f>IF(OR(B15="",C15=""),"",IFERROR((B15+C15)*(1-E15),0))</f>
        <v/>
      </c>
      <c r="G15" s="149">
        <f>IF(F15="","",IF(J15="Sim",0,F15))</f>
        <v/>
      </c>
      <c r="H15" s="109" t="inlineStr">
        <is>
          <t>Mesma regra de 2027.</t>
        </is>
      </c>
      <c r="I15" s="110">
        <f>IF(AND(B15&lt;&gt;"",C15&lt;&gt;""),"OK","PENDENTE")</f>
        <v/>
      </c>
      <c r="J15" s="130" t="inlineStr">
        <is>
          <t>Não</t>
        </is>
      </c>
      <c r="K15" s="132" t="n">
        <v>0</v>
      </c>
      <c r="L15" s="126">
        <f>IF(J15="Sim",0,IFERROR(F15/'Premissas &amp; Cenários'!$B$35,0))</f>
        <v/>
      </c>
    </row>
    <row r="16" ht="38.25" customHeight="1">
      <c r="A16" s="104" t="n">
        <v>2029</v>
      </c>
      <c r="B16" s="148">
        <f>'Premissas &amp; Cenários'!$B$108</f>
        <v/>
      </c>
      <c r="C16" s="148">
        <f>'Premissas &amp; Cenários'!$B$109*0.1</f>
        <v/>
      </c>
      <c r="D16" s="106" t="n">
        <v>0.9</v>
      </c>
      <c r="E16" s="107">
        <f>'Premissas &amp; Cenários'!$B$34</f>
        <v/>
      </c>
      <c r="F16" s="149">
        <f>IF(OR(B16="",C16=""),"",IFERROR((B16+C16)*(1-E16),0))</f>
        <v/>
      </c>
      <c r="G16" s="149">
        <f>IF(F16="","",IF(J16="Sim",0,F16))</f>
        <v/>
      </c>
      <c r="H16" s="109" t="inlineStr">
        <is>
          <t>IBS a 10% da referência; ICMS/ISS a 90% (não incidem na venda de unidade própria).</t>
        </is>
      </c>
      <c r="I16" s="110">
        <f>IF(AND(B16&lt;&gt;"",C16&lt;&gt;""),"OK","PENDENTE")</f>
        <v/>
      </c>
      <c r="J16" s="130" t="inlineStr">
        <is>
          <t>Não</t>
        </is>
      </c>
      <c r="K16" s="132" t="n">
        <v>0</v>
      </c>
      <c r="L16" s="126">
        <f>IF(J16="Sim",0,IFERROR(F16/'Premissas &amp; Cenários'!$B$35,0))</f>
        <v/>
      </c>
    </row>
    <row r="17" ht="25.5" customHeight="1">
      <c r="A17" s="104" t="n">
        <v>2030</v>
      </c>
      <c r="B17" s="148">
        <f>'Premissas &amp; Cenários'!$B$108</f>
        <v/>
      </c>
      <c r="C17" s="148">
        <f>'Premissas &amp; Cenários'!$B$109*0.2</f>
        <v/>
      </c>
      <c r="D17" s="106" t="n">
        <v>0.8</v>
      </c>
      <c r="E17" s="107">
        <f>'Premissas &amp; Cenários'!$B$34</f>
        <v/>
      </c>
      <c r="F17" s="149">
        <f>IF(OR(B17="",C17=""),"",IFERROR((B17+C17)*(1-E17),0))</f>
        <v/>
      </c>
      <c r="G17" s="149">
        <f>IF(F17="","",IF(J17="Sim",0,F17))</f>
        <v/>
      </c>
      <c r="H17" s="109" t="inlineStr">
        <is>
          <t>IBS a 20% da referência.</t>
        </is>
      </c>
      <c r="I17" s="110">
        <f>IF(AND(B17&lt;&gt;"",C17&lt;&gt;""),"OK","PENDENTE")</f>
        <v/>
      </c>
      <c r="J17" s="130" t="inlineStr">
        <is>
          <t>Não</t>
        </is>
      </c>
      <c r="K17" s="132" t="n">
        <v>0</v>
      </c>
      <c r="L17" s="126">
        <f>IF(J17="Sim",0,IFERROR(F17/'Premissas &amp; Cenários'!$B$35,0))</f>
        <v/>
      </c>
    </row>
    <row r="18" ht="25.5" customHeight="1">
      <c r="A18" s="104" t="n">
        <v>2031</v>
      </c>
      <c r="B18" s="148">
        <f>'Premissas &amp; Cenários'!$B$108</f>
        <v/>
      </c>
      <c r="C18" s="148">
        <f>'Premissas &amp; Cenários'!$B$109*0.3</f>
        <v/>
      </c>
      <c r="D18" s="106" t="n">
        <v>0.7</v>
      </c>
      <c r="E18" s="107">
        <f>'Premissas &amp; Cenários'!$B$34</f>
        <v/>
      </c>
      <c r="F18" s="149">
        <f>IF(OR(B18="",C18=""),"",IFERROR((B18+C18)*(1-E18),0))</f>
        <v/>
      </c>
      <c r="G18" s="149">
        <f>IF(F18="","",IF(J18="Sim",0,F18))</f>
        <v/>
      </c>
      <c r="H18" s="109" t="inlineStr">
        <is>
          <t>IBS a 30% da referência.</t>
        </is>
      </c>
      <c r="I18" s="110">
        <f>IF(AND(B18&lt;&gt;"",C18&lt;&gt;""),"OK","PENDENTE")</f>
        <v/>
      </c>
      <c r="J18" s="130" t="inlineStr">
        <is>
          <t>Não</t>
        </is>
      </c>
      <c r="K18" s="132" t="n">
        <v>0</v>
      </c>
      <c r="L18" s="126">
        <f>IF(J18="Sim",0,IFERROR(F18/'Premissas &amp; Cenários'!$B$35,0))</f>
        <v/>
      </c>
    </row>
    <row r="19" ht="25.5" customHeight="1">
      <c r="A19" s="104" t="n">
        <v>2032</v>
      </c>
      <c r="B19" s="148">
        <f>'Premissas &amp; Cenários'!$B$108</f>
        <v/>
      </c>
      <c r="C19" s="148">
        <f>'Premissas &amp; Cenários'!$B$109*0.4</f>
        <v/>
      </c>
      <c r="D19" s="106" t="n">
        <v>0.6</v>
      </c>
      <c r="E19" s="107">
        <f>'Premissas &amp; Cenários'!$B$34</f>
        <v/>
      </c>
      <c r="F19" s="149">
        <f>IF(OR(B19="",C19=""),"",IFERROR((B19+C19)*(1-E19),0))</f>
        <v/>
      </c>
      <c r="G19" s="149">
        <f>IF(F19="","",IF(J19="Sim",0,F19))</f>
        <v/>
      </c>
      <c r="H19" s="109" t="inlineStr">
        <is>
          <t>IBS a 40% da referência.</t>
        </is>
      </c>
      <c r="I19" s="110">
        <f>IF(AND(B19&lt;&gt;"",C19&lt;&gt;""),"OK","PENDENTE")</f>
        <v/>
      </c>
      <c r="J19" s="130" t="inlineStr">
        <is>
          <t>Não</t>
        </is>
      </c>
      <c r="K19" s="132" t="n">
        <v>0</v>
      </c>
      <c r="L19" s="126">
        <f>IF(J19="Sim",0,IFERROR(F19/'Premissas &amp; Cenários'!$B$35,0))</f>
        <v/>
      </c>
    </row>
    <row r="20" ht="38.25" customHeight="1">
      <c r="A20" s="104" t="n">
        <v>2033</v>
      </c>
      <c r="B20" s="148">
        <f>'Premissas &amp; Cenários'!$B$108</f>
        <v/>
      </c>
      <c r="C20" s="148">
        <f>'Premissas &amp; Cenários'!$B$109</f>
        <v/>
      </c>
      <c r="D20" s="106" t="n">
        <v>0</v>
      </c>
      <c r="E20" s="107">
        <f>'Premissas &amp; Cenários'!$B$34</f>
        <v/>
      </c>
      <c r="F20" s="149">
        <f>IF(OR(B20="",C20=""),"",IFERROR((B20+C20)*(1-E20),0))</f>
        <v/>
      </c>
      <c r="G20" s="149">
        <f>IF(F20="","",IF(J20="Sim",0,F20))</f>
        <v/>
      </c>
      <c r="H20" s="109" t="inlineStr">
        <is>
          <t>Vigência integral do novo modelo.</t>
        </is>
      </c>
      <c r="I20" s="110">
        <f>IF(AND(B20&lt;&gt;"",C20&lt;&gt;""),"OK","PENDENTE")</f>
        <v/>
      </c>
      <c r="J20" s="130" t="inlineStr">
        <is>
          <t>Não</t>
        </is>
      </c>
      <c r="K20" s="132" t="n">
        <v>0</v>
      </c>
      <c r="L20" s="126">
        <f>IF(J20="Sim",0,IFERROR(F20/'Premissas &amp; Cenários'!$B$35,0))</f>
        <v/>
      </c>
    </row>
    <row r="21"/>
    <row r="22"/>
    <row r="23" ht="15.75" customHeight="1">
      <c r="A23" s="8" t="inlineStr">
        <is>
          <t>Checks da transição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</row>
    <row r="24"/>
    <row r="25">
      <c r="A25" s="10" t="inlineStr">
        <is>
          <t>Anos completos</t>
        </is>
      </c>
      <c r="B25" s="46">
        <f>COUNTIF(I13:I20,"OK")</f>
        <v/>
      </c>
      <c r="D25" s="10" t="inlineStr">
        <is>
          <t>Anos pendentes</t>
        </is>
      </c>
      <c r="E25" s="46">
        <f>COUNTIF(I13:I20,"PENDENTE")</f>
        <v/>
      </c>
      <c r="G25" s="10" t="inlineStr">
        <is>
          <t>Status</t>
        </is>
      </c>
      <c r="H25" s="86">
        <f>IF(E25=0,"OK","PENDENTE — ATUALIZAR ALÍQUOTAS")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12"/>
  <sheetViews>
    <sheetView showGridLines="0" zoomScale="80" zoomScaleNormal="80" workbookViewId="0">
      <selection activeCell="H10" sqref="H10"/>
    </sheetView>
  </sheetViews>
  <sheetFormatPr baseColWidth="8" defaultColWidth="8.5703125" defaultRowHeight="15"/>
  <cols>
    <col width="20" customWidth="1" min="1" max="1"/>
    <col width="44" customWidth="1" min="2" max="2"/>
    <col width="20" customWidth="1" min="3" max="3"/>
    <col width="16" customWidth="1" min="4" max="4"/>
    <col width="14.5703125" bestFit="1" customWidth="1" min="5" max="5"/>
    <col width="18" bestFit="1" customWidth="1" min="6" max="6"/>
    <col width="18.42578125" bestFit="1" customWidth="1" min="7" max="7"/>
    <col width="35" customWidth="1" min="8" max="8"/>
    <col width="44" customWidth="1" min="9" max="9"/>
  </cols>
  <sheetData>
    <row r="1" ht="24" customHeight="1">
      <c r="B1" s="1" t="inlineStr">
        <is>
          <t>Cadastro Unidades</t>
        </is>
      </c>
      <c r="C1" s="2" t="n"/>
      <c r="D1" s="2" t="n"/>
      <c r="E1" s="2" t="n"/>
      <c r="F1" s="2" t="n"/>
      <c r="G1" s="2" t="n"/>
      <c r="H1" s="2" t="n"/>
      <c r="I1" s="2" t="n"/>
    </row>
    <row r="2"/>
    <row r="3">
      <c r="B3" s="96" t="inlineStr">
        <is>
          <t>Cadastro unitário para preço, permuta, redutor social, RAJ alocado e documentação.</t>
        </is>
      </c>
    </row>
    <row r="4">
      <c r="B4" s="97" t="inlineStr">
        <is>
          <t>Valores monetários em R$ nominais; a tabela começa com a premissa média e deve ser substituída pelo cadastro real do empreendimento.</t>
        </is>
      </c>
    </row>
    <row r="5"/>
    <row r="6" ht="15.75" customHeight="1">
      <c r="A6" s="8" t="inlineStr">
        <is>
          <t>Resumo do cadastro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/>
    <row r="8">
      <c r="A8" s="10" t="inlineStr">
        <is>
          <t>Total de unidades</t>
        </is>
      </c>
      <c r="B8" s="46">
        <f>COUNTA(A13:A112)</f>
        <v/>
      </c>
      <c r="D8" s="10" t="inlineStr">
        <is>
          <t>VGV cadastrado</t>
        </is>
      </c>
      <c r="E8" s="87">
        <f>SUM(C13:C112)</f>
        <v/>
      </c>
      <c r="G8" s="10" t="inlineStr">
        <is>
          <t>Unidades tributáveis</t>
        </is>
      </c>
      <c r="H8" s="46">
        <f>COUNTIF(E13:E112,"Sim")</f>
        <v/>
      </c>
    </row>
    <row r="9">
      <c r="A9" s="10" t="inlineStr">
        <is>
          <t>VGV em permuta</t>
        </is>
      </c>
      <c r="B9" s="46">
        <f>SUMIFS(C13:C112,D13:D112,"Sim")</f>
        <v/>
      </c>
      <c r="D9" s="10" t="inlineStr">
        <is>
          <t>VGV tributável</t>
        </is>
      </c>
      <c r="E9" s="46">
        <f>SUMIFS(C13:C112,E13:E112,"Sim")</f>
        <v/>
      </c>
      <c r="G9" s="10" t="inlineStr">
        <is>
          <t>Redutor social</t>
        </is>
      </c>
      <c r="H9" s="46">
        <f>SUM(F13:F112)</f>
        <v/>
      </c>
    </row>
    <row r="10">
      <c r="A10" s="10" t="inlineStr">
        <is>
          <t>RAJ alocado</t>
        </is>
      </c>
      <c r="B10" s="46">
        <f>SUM(G13:G112)</f>
        <v/>
      </c>
      <c r="D10" s="10" t="inlineStr">
        <is>
          <t>Check VGV</t>
        </is>
      </c>
      <c r="E10" s="88">
        <f>E8-'Premissas &amp; Cenários'!$B$10</f>
        <v/>
      </c>
      <c r="G10" s="10" t="inlineStr">
        <is>
          <t>Check unidades</t>
        </is>
      </c>
      <c r="H10" s="88">
        <f>B8-'Premissas &amp; Cenários'!$B$12</f>
        <v/>
      </c>
    </row>
    <row r="11" ht="16.5" customHeight="1" thickBot="1">
      <c r="A11" s="8" t="inlineStr">
        <is>
          <t>Cadastro unitário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6.25" customHeight="1" thickBot="1">
      <c r="A12" s="18" t="inlineStr">
        <is>
          <t>ID unidade</t>
        </is>
      </c>
      <c r="B12" s="18" t="inlineStr">
        <is>
          <t>Tipo</t>
        </is>
      </c>
      <c r="C12" s="18" t="inlineStr">
        <is>
          <t>Preço unitário</t>
        </is>
      </c>
      <c r="D12" s="18" t="inlineStr">
        <is>
          <t>Permuta física</t>
        </is>
      </c>
      <c r="E12" s="18" t="inlineStr">
        <is>
          <t>Tributável</t>
        </is>
      </c>
      <c r="F12" s="18" t="inlineStr">
        <is>
          <t>Redutor social</t>
        </is>
      </c>
      <c r="G12" s="18" t="inlineStr">
        <is>
          <t>RAJ alocado</t>
        </is>
      </c>
      <c r="H12" s="18" t="inlineStr">
        <is>
          <t>Documento / origem</t>
        </is>
      </c>
      <c r="I12" s="18" t="inlineStr">
        <is>
          <t>Status</t>
        </is>
      </c>
    </row>
    <row r="13" ht="30" customHeight="1">
      <c r="A13" s="89" t="inlineStr">
        <is>
          <t>U001</t>
        </is>
      </c>
      <c r="B13" s="89" t="inlineStr">
        <is>
          <t>Residencial Novo</t>
        </is>
      </c>
      <c r="C13" s="90" t="n">
        <v>2750000</v>
      </c>
      <c r="D13" s="89" t="inlineStr">
        <is>
          <t>Sim</t>
        </is>
      </c>
      <c r="E13" s="91">
        <f>IF(D13="Sim","Não","Sim")</f>
        <v/>
      </c>
      <c r="F13" s="44">
        <f>IF(E13="Sim",IF(B13="Residencial Novo",'Premissas &amp; Cenários'!$B$38,IF(B13="Lote Residencial",'Premissas &amp; Cenários'!$B$39,0)),0)</f>
        <v/>
      </c>
      <c r="G13" s="44">
        <f>IF(E13="Sim",MIN(C13,IFERROR('Premissas &amp; Cenários'!$G$57*C13/SUMIFS($C$13:$C$112,$E$13:$E$112,"Sim"),0)),0)</f>
        <v/>
      </c>
      <c r="H13" s="89" t="inlineStr">
        <is>
          <t>PENDENTE</t>
        </is>
      </c>
      <c r="I13" s="91">
        <f>IF(OR(A13="",B13="",C13="",H13="PENDENTE"),"PENDENTE","OK")</f>
        <v/>
      </c>
    </row>
    <row r="14" ht="30" customHeight="1">
      <c r="A14" s="89" t="inlineStr">
        <is>
          <t>U002</t>
        </is>
      </c>
      <c r="B14" s="89" t="inlineStr">
        <is>
          <t>Residencial Novo</t>
        </is>
      </c>
      <c r="C14" s="90" t="n">
        <v>2750000</v>
      </c>
      <c r="D14" s="89" t="inlineStr">
        <is>
          <t>Sim</t>
        </is>
      </c>
      <c r="E14" s="91">
        <f>IF(D14="Sim","Não","Sim")</f>
        <v/>
      </c>
      <c r="F14" s="44">
        <f>IF(E14="Sim",IF(B14="Residencial Novo",'Premissas &amp; Cenários'!$B$38,IF(B14="Lote Residencial",'Premissas &amp; Cenários'!$B$39,0)),0)</f>
        <v/>
      </c>
      <c r="G14" s="44">
        <f>IF(E14="Sim",MIN(C14,IFERROR('Premissas &amp; Cenários'!$G$57*C14/SUMIFS($C$13:$C$112,$E$13:$E$112,"Sim"),0)),0)</f>
        <v/>
      </c>
      <c r="H14" s="89" t="inlineStr">
        <is>
          <t>PENDENTE</t>
        </is>
      </c>
      <c r="I14" s="91">
        <f>IF(OR(A14="",B14="",C14="",H14="PENDENTE"),"PENDENTE","OK")</f>
        <v/>
      </c>
    </row>
    <row r="15" ht="30" customHeight="1">
      <c r="A15" s="89" t="inlineStr">
        <is>
          <t>U003</t>
        </is>
      </c>
      <c r="B15" s="89" t="inlineStr">
        <is>
          <t>Residencial Novo</t>
        </is>
      </c>
      <c r="C15" s="90" t="n">
        <v>2750000</v>
      </c>
      <c r="D15" s="89" t="inlineStr">
        <is>
          <t>Sim</t>
        </is>
      </c>
      <c r="E15" s="91">
        <f>IF(D15="Sim","Não","Sim")</f>
        <v/>
      </c>
      <c r="F15" s="44">
        <f>IF(E15="Sim",IF(B15="Residencial Novo",'Premissas &amp; Cenários'!$B$38,IF(B15="Lote Residencial",'Premissas &amp; Cenários'!$B$39,0)),0)</f>
        <v/>
      </c>
      <c r="G15" s="44">
        <f>IF(E15="Sim",MIN(C15,IFERROR('Premissas &amp; Cenários'!$G$57*C15/SUMIFS($C$13:$C$112,$E$13:$E$112,"Sim"),0)),0)</f>
        <v/>
      </c>
      <c r="H15" s="89" t="inlineStr">
        <is>
          <t>PENDENTE</t>
        </is>
      </c>
      <c r="I15" s="91">
        <f>IF(OR(A15="",B15="",C15="",H15="PENDENTE"),"PENDENTE","OK")</f>
        <v/>
      </c>
    </row>
    <row r="16" ht="30" customHeight="1">
      <c r="A16" s="89" t="inlineStr">
        <is>
          <t>U004</t>
        </is>
      </c>
      <c r="B16" s="89" t="inlineStr">
        <is>
          <t>Residencial Novo</t>
        </is>
      </c>
      <c r="C16" s="90" t="n">
        <v>2750000</v>
      </c>
      <c r="D16" s="89" t="inlineStr">
        <is>
          <t>Sim</t>
        </is>
      </c>
      <c r="E16" s="91">
        <f>IF(D16="Sim","Não","Sim")</f>
        <v/>
      </c>
      <c r="F16" s="44">
        <f>IF(E16="Sim",IF(B16="Residencial Novo",'Premissas &amp; Cenários'!$B$38,IF(B16="Lote Residencial",'Premissas &amp; Cenários'!$B$39,0)),0)</f>
        <v/>
      </c>
      <c r="G16" s="44">
        <f>IF(E16="Sim",MIN(C16,IFERROR('Premissas &amp; Cenários'!$G$57*C16/SUMIFS($C$13:$C$112,$E$13:$E$112,"Sim"),0)),0)</f>
        <v/>
      </c>
      <c r="H16" s="89" t="inlineStr">
        <is>
          <t>PENDENTE</t>
        </is>
      </c>
      <c r="I16" s="91">
        <f>IF(OR(A16="",B16="",C16="",H16="PENDENTE"),"PENDENTE","OK")</f>
        <v/>
      </c>
    </row>
    <row r="17" ht="30" customHeight="1">
      <c r="A17" s="89" t="inlineStr">
        <is>
          <t>U005</t>
        </is>
      </c>
      <c r="B17" s="89" t="inlineStr">
        <is>
          <t>Residencial Novo</t>
        </is>
      </c>
      <c r="C17" s="90" t="n">
        <v>2750000</v>
      </c>
      <c r="D17" s="89" t="inlineStr">
        <is>
          <t>Sim</t>
        </is>
      </c>
      <c r="E17" s="91">
        <f>IF(D17="Sim","Não","Sim")</f>
        <v/>
      </c>
      <c r="F17" s="44">
        <f>IF(E17="Sim",IF(B17="Residencial Novo",'Premissas &amp; Cenários'!$B$38,IF(B17="Lote Residencial",'Premissas &amp; Cenários'!$B$39,0)),0)</f>
        <v/>
      </c>
      <c r="G17" s="44">
        <f>IF(E17="Sim",MIN(C17,IFERROR('Premissas &amp; Cenários'!$G$57*C17/SUMIFS($C$13:$C$112,$E$13:$E$112,"Sim"),0)),0)</f>
        <v/>
      </c>
      <c r="H17" s="89" t="inlineStr">
        <is>
          <t>PENDENTE</t>
        </is>
      </c>
      <c r="I17" s="91">
        <f>IF(OR(A17="",B17="",C17="",H17="PENDENTE"),"PENDENTE","OK")</f>
        <v/>
      </c>
    </row>
    <row r="18" ht="30" customHeight="1">
      <c r="A18" s="89" t="inlineStr">
        <is>
          <t>U006</t>
        </is>
      </c>
      <c r="B18" s="89" t="inlineStr">
        <is>
          <t>Residencial Novo</t>
        </is>
      </c>
      <c r="C18" s="90" t="n">
        <v>2750000</v>
      </c>
      <c r="D18" s="89" t="inlineStr">
        <is>
          <t>Sim</t>
        </is>
      </c>
      <c r="E18" s="91">
        <f>IF(D18="Sim","Não","Sim")</f>
        <v/>
      </c>
      <c r="F18" s="44">
        <f>IF(E18="Sim",IF(B18="Residencial Novo",'Premissas &amp; Cenários'!$B$38,IF(B18="Lote Residencial",'Premissas &amp; Cenários'!$B$39,0)),0)</f>
        <v/>
      </c>
      <c r="G18" s="44">
        <f>IF(E18="Sim",MIN(C18,IFERROR('Premissas &amp; Cenários'!$G$57*C18/SUMIFS($C$13:$C$112,$E$13:$E$112,"Sim"),0)),0)</f>
        <v/>
      </c>
      <c r="H18" s="89" t="inlineStr">
        <is>
          <t>PENDENTE</t>
        </is>
      </c>
      <c r="I18" s="91">
        <f>IF(OR(A18="",B18="",C18="",H18="PENDENTE"),"PENDENTE","OK")</f>
        <v/>
      </c>
    </row>
    <row r="19" ht="30" customHeight="1">
      <c r="A19" s="89" t="inlineStr">
        <is>
          <t>U007</t>
        </is>
      </c>
      <c r="B19" s="89" t="inlineStr">
        <is>
          <t>Residencial Novo</t>
        </is>
      </c>
      <c r="C19" s="90" t="n">
        <v>2750000</v>
      </c>
      <c r="D19" s="89" t="inlineStr">
        <is>
          <t>Sim</t>
        </is>
      </c>
      <c r="E19" s="91">
        <f>IF(D19="Sim","Não","Sim")</f>
        <v/>
      </c>
      <c r="F19" s="44">
        <f>IF(E19="Sim",IF(B19="Residencial Novo",'Premissas &amp; Cenários'!$B$38,IF(B19="Lote Residencial",'Premissas &amp; Cenários'!$B$39,0)),0)</f>
        <v/>
      </c>
      <c r="G19" s="44">
        <f>IF(E19="Sim",MIN(C19,IFERROR('Premissas &amp; Cenários'!$G$57*C19/SUMIFS($C$13:$C$112,$E$13:$E$112,"Sim"),0)),0)</f>
        <v/>
      </c>
      <c r="H19" s="89" t="inlineStr">
        <is>
          <t>PENDENTE</t>
        </is>
      </c>
      <c r="I19" s="91">
        <f>IF(OR(A19="",B19="",C19="",H19="PENDENTE"),"PENDENTE","OK")</f>
        <v/>
      </c>
    </row>
    <row r="20" ht="30" customHeight="1">
      <c r="A20" s="89" t="inlineStr">
        <is>
          <t>U008</t>
        </is>
      </c>
      <c r="B20" s="89" t="inlineStr">
        <is>
          <t>Residencial Novo</t>
        </is>
      </c>
      <c r="C20" s="90" t="n">
        <v>2750000</v>
      </c>
      <c r="D20" s="89" t="inlineStr">
        <is>
          <t>Sim</t>
        </is>
      </c>
      <c r="E20" s="91">
        <f>IF(D20="Sim","Não","Sim")</f>
        <v/>
      </c>
      <c r="F20" s="44">
        <f>IF(E20="Sim",IF(B20="Residencial Novo",'Premissas &amp; Cenários'!$B$38,IF(B20="Lote Residencial",'Premissas &amp; Cenários'!$B$39,0)),0)</f>
        <v/>
      </c>
      <c r="G20" s="44">
        <f>IF(E20="Sim",MIN(C20,IFERROR('Premissas &amp; Cenários'!$G$57*C20/SUMIFS($C$13:$C$112,$E$13:$E$112,"Sim"),0)),0)</f>
        <v/>
      </c>
      <c r="H20" s="89" t="inlineStr">
        <is>
          <t>PENDENTE</t>
        </is>
      </c>
      <c r="I20" s="91">
        <f>IF(OR(A20="",B20="",C20="",H20="PENDENTE"),"PENDENTE","OK")</f>
        <v/>
      </c>
    </row>
    <row r="21" ht="30" customHeight="1">
      <c r="A21" s="89" t="inlineStr">
        <is>
          <t>U009</t>
        </is>
      </c>
      <c r="B21" s="89" t="inlineStr">
        <is>
          <t>Residencial Novo</t>
        </is>
      </c>
      <c r="C21" s="90" t="n">
        <v>2750000</v>
      </c>
      <c r="D21" s="89" t="inlineStr">
        <is>
          <t>Sim</t>
        </is>
      </c>
      <c r="E21" s="91">
        <f>IF(D21="Sim","Não","Sim")</f>
        <v/>
      </c>
      <c r="F21" s="44">
        <f>IF(E21="Sim",IF(B21="Residencial Novo",'Premissas &amp; Cenários'!$B$38,IF(B21="Lote Residencial",'Premissas &amp; Cenários'!$B$39,0)),0)</f>
        <v/>
      </c>
      <c r="G21" s="44">
        <f>IF(E21="Sim",MIN(C21,IFERROR('Premissas &amp; Cenários'!$G$57*C21/SUMIFS($C$13:$C$112,$E$13:$E$112,"Sim"),0)),0)</f>
        <v/>
      </c>
      <c r="H21" s="89" t="inlineStr">
        <is>
          <t>PENDENTE</t>
        </is>
      </c>
      <c r="I21" s="91">
        <f>IF(OR(A21="",B21="",C21="",H21="PENDENTE"),"PENDENTE","OK")</f>
        <v/>
      </c>
    </row>
    <row r="22" ht="30" customHeight="1">
      <c r="A22" s="89" t="inlineStr">
        <is>
          <t>U010</t>
        </is>
      </c>
      <c r="B22" s="89" t="inlineStr">
        <is>
          <t>Residencial Novo</t>
        </is>
      </c>
      <c r="C22" s="90" t="n">
        <v>2750000</v>
      </c>
      <c r="D22" s="89" t="inlineStr">
        <is>
          <t>Sim</t>
        </is>
      </c>
      <c r="E22" s="91">
        <f>IF(D22="Sim","Não","Sim")</f>
        <v/>
      </c>
      <c r="F22" s="44">
        <f>IF(E22="Sim",IF(B22="Residencial Novo",'Premissas &amp; Cenários'!$B$38,IF(B22="Lote Residencial",'Premissas &amp; Cenários'!$B$39,0)),0)</f>
        <v/>
      </c>
      <c r="G22" s="44">
        <f>IF(E22="Sim",MIN(C22,IFERROR('Premissas &amp; Cenários'!$G$57*C22/SUMIFS($C$13:$C$112,$E$13:$E$112,"Sim"),0)),0)</f>
        <v/>
      </c>
      <c r="H22" s="89" t="inlineStr">
        <is>
          <t>PENDENTE</t>
        </is>
      </c>
      <c r="I22" s="91">
        <f>IF(OR(A22="",B22="",C22="",H22="PENDENTE"),"PENDENTE","OK")</f>
        <v/>
      </c>
    </row>
    <row r="23" ht="30" customHeight="1">
      <c r="A23" s="89" t="inlineStr">
        <is>
          <t>U011</t>
        </is>
      </c>
      <c r="B23" s="89" t="inlineStr">
        <is>
          <t>Residencial Novo</t>
        </is>
      </c>
      <c r="C23" s="90" t="n">
        <v>2750000</v>
      </c>
      <c r="D23" s="89" t="inlineStr">
        <is>
          <t>Sim</t>
        </is>
      </c>
      <c r="E23" s="91">
        <f>IF(D23="Sim","Não","Sim")</f>
        <v/>
      </c>
      <c r="F23" s="44">
        <f>IF(E23="Sim",IF(B23="Residencial Novo",'Premissas &amp; Cenários'!$B$38,IF(B23="Lote Residencial",'Premissas &amp; Cenários'!$B$39,0)),0)</f>
        <v/>
      </c>
      <c r="G23" s="44">
        <f>IF(E23="Sim",MIN(C23,IFERROR('Premissas &amp; Cenários'!$G$57*C23/SUMIFS($C$13:$C$112,$E$13:$E$112,"Sim"),0)),0)</f>
        <v/>
      </c>
      <c r="H23" s="89" t="inlineStr">
        <is>
          <t>PENDENTE</t>
        </is>
      </c>
      <c r="I23" s="91">
        <f>IF(OR(A23="",B23="",C23="",H23="PENDENTE"),"PENDENTE","OK")</f>
        <v/>
      </c>
    </row>
    <row r="24" ht="30" customHeight="1">
      <c r="A24" s="89" t="inlineStr">
        <is>
          <t>U012</t>
        </is>
      </c>
      <c r="B24" s="89" t="inlineStr">
        <is>
          <t>Residencial Novo</t>
        </is>
      </c>
      <c r="C24" s="90" t="n">
        <v>2750000</v>
      </c>
      <c r="D24" s="89" t="inlineStr">
        <is>
          <t>Sim</t>
        </is>
      </c>
      <c r="E24" s="91">
        <f>IF(D24="Sim","Não","Sim")</f>
        <v/>
      </c>
      <c r="F24" s="44">
        <f>IF(E24="Sim",IF(B24="Residencial Novo",'Premissas &amp; Cenários'!$B$38,IF(B24="Lote Residencial",'Premissas &amp; Cenários'!$B$39,0)),0)</f>
        <v/>
      </c>
      <c r="G24" s="44">
        <f>IF(E24="Sim",MIN(C24,IFERROR('Premissas &amp; Cenários'!$G$57*C24/SUMIFS($C$13:$C$112,$E$13:$E$112,"Sim"),0)),0)</f>
        <v/>
      </c>
      <c r="H24" s="89" t="inlineStr">
        <is>
          <t>PENDENTE</t>
        </is>
      </c>
      <c r="I24" s="91">
        <f>IF(OR(A24="",B24="",C24="",H24="PENDENTE"),"PENDENTE","OK")</f>
        <v/>
      </c>
    </row>
    <row r="25" ht="30" customHeight="1">
      <c r="A25" s="89" t="inlineStr">
        <is>
          <t>U013</t>
        </is>
      </c>
      <c r="B25" s="89" t="inlineStr">
        <is>
          <t>Residencial Novo</t>
        </is>
      </c>
      <c r="C25" s="90" t="n">
        <v>2806818.18181818</v>
      </c>
      <c r="D25" s="89" t="inlineStr">
        <is>
          <t>Não</t>
        </is>
      </c>
      <c r="E25" s="91">
        <f>IF(D25="Sim","Não","Sim")</f>
        <v/>
      </c>
      <c r="F25" s="44">
        <f>IF(E25="Sim",IF(B25="Residencial Novo",'Premissas &amp; Cenários'!$B$38,IF(B25="Lote Residencial",'Premissas &amp; Cenários'!$B$39,0)),0)</f>
        <v/>
      </c>
      <c r="G25" s="44">
        <f>IF(E25="Sim",MIN(C25,IFERROR('Premissas &amp; Cenários'!$G$57*C25/SUMIFS($C$13:$C$112,$E$13:$E$112,"Sim"),0)),0)</f>
        <v/>
      </c>
      <c r="H25" s="89" t="inlineStr">
        <is>
          <t>PENDENTE</t>
        </is>
      </c>
      <c r="I25" s="91">
        <f>IF(OR(A25="",B25="",C25="",H25="PENDENTE"),"PENDENTE","OK")</f>
        <v/>
      </c>
    </row>
    <row r="26" ht="30" customHeight="1">
      <c r="A26" s="89" t="inlineStr">
        <is>
          <t>U014</t>
        </is>
      </c>
      <c r="B26" s="89" t="inlineStr">
        <is>
          <t>Residencial Novo</t>
        </is>
      </c>
      <c r="C26" s="90" t="n">
        <v>2806818.18181818</v>
      </c>
      <c r="D26" s="89" t="inlineStr">
        <is>
          <t>Não</t>
        </is>
      </c>
      <c r="E26" s="91">
        <f>IF(D26="Sim","Não","Sim")</f>
        <v/>
      </c>
      <c r="F26" s="44">
        <f>IF(E26="Sim",IF(B26="Residencial Novo",'Premissas &amp; Cenários'!$B$38,IF(B26="Lote Residencial",'Premissas &amp; Cenários'!$B$39,0)),0)</f>
        <v/>
      </c>
      <c r="G26" s="44">
        <f>IF(E26="Sim",MIN(C26,IFERROR('Premissas &amp; Cenários'!$G$57*C26/SUMIFS($C$13:$C$112,$E$13:$E$112,"Sim"),0)),0)</f>
        <v/>
      </c>
      <c r="H26" s="89" t="inlineStr">
        <is>
          <t>PENDENTE</t>
        </is>
      </c>
      <c r="I26" s="91">
        <f>IF(OR(A26="",B26="",C26="",H26="PENDENTE"),"PENDENTE","OK")</f>
        <v/>
      </c>
    </row>
    <row r="27" ht="30" customHeight="1">
      <c r="A27" s="89" t="inlineStr">
        <is>
          <t>U015</t>
        </is>
      </c>
      <c r="B27" s="89" t="inlineStr">
        <is>
          <t>Residencial Novo</t>
        </is>
      </c>
      <c r="C27" s="90" t="n">
        <v>2806818.18181818</v>
      </c>
      <c r="D27" s="89" t="inlineStr">
        <is>
          <t>Não</t>
        </is>
      </c>
      <c r="E27" s="91">
        <f>IF(D27="Sim","Não","Sim")</f>
        <v/>
      </c>
      <c r="F27" s="44">
        <f>IF(E27="Sim",IF(B27="Residencial Novo",'Premissas &amp; Cenários'!$B$38,IF(B27="Lote Residencial",'Premissas &amp; Cenários'!$B$39,0)),0)</f>
        <v/>
      </c>
      <c r="G27" s="44">
        <f>IF(E27="Sim",MIN(C27,IFERROR('Premissas &amp; Cenários'!$G$57*C27/SUMIFS($C$13:$C$112,$E$13:$E$112,"Sim"),0)),0)</f>
        <v/>
      </c>
      <c r="H27" s="89" t="inlineStr">
        <is>
          <t>PENDENTE</t>
        </is>
      </c>
      <c r="I27" s="91">
        <f>IF(OR(A27="",B27="",C27="",H27="PENDENTE"),"PENDENTE","OK")</f>
        <v/>
      </c>
    </row>
    <row r="28" ht="30" customHeight="1">
      <c r="A28" s="89" t="inlineStr">
        <is>
          <t>U016</t>
        </is>
      </c>
      <c r="B28" s="89" t="inlineStr">
        <is>
          <t>Residencial Novo</t>
        </is>
      </c>
      <c r="C28" s="90" t="n">
        <v>2806818.18181818</v>
      </c>
      <c r="D28" s="89" t="inlineStr">
        <is>
          <t>Não</t>
        </is>
      </c>
      <c r="E28" s="91">
        <f>IF(D28="Sim","Não","Sim")</f>
        <v/>
      </c>
      <c r="F28" s="44">
        <f>IF(E28="Sim",IF(B28="Residencial Novo",'Premissas &amp; Cenários'!$B$38,IF(B28="Lote Residencial",'Premissas &amp; Cenários'!$B$39,0)),0)</f>
        <v/>
      </c>
      <c r="G28" s="44">
        <f>IF(E28="Sim",MIN(C28,IFERROR('Premissas &amp; Cenários'!$G$57*C28/SUMIFS($C$13:$C$112,$E$13:$E$112,"Sim"),0)),0)</f>
        <v/>
      </c>
      <c r="H28" s="89" t="inlineStr">
        <is>
          <t>PENDENTE</t>
        </is>
      </c>
      <c r="I28" s="91">
        <f>IF(OR(A28="",B28="",C28="",H28="PENDENTE"),"PENDENTE","OK")</f>
        <v/>
      </c>
    </row>
    <row r="29" ht="30" customHeight="1">
      <c r="A29" s="89" t="inlineStr">
        <is>
          <t>U017</t>
        </is>
      </c>
      <c r="B29" s="89" t="inlineStr">
        <is>
          <t>Residencial Novo</t>
        </is>
      </c>
      <c r="C29" s="90" t="n">
        <v>2806818.18181818</v>
      </c>
      <c r="D29" s="89" t="inlineStr">
        <is>
          <t>Não</t>
        </is>
      </c>
      <c r="E29" s="91">
        <f>IF(D29="Sim","Não","Sim")</f>
        <v/>
      </c>
      <c r="F29" s="44">
        <f>IF(E29="Sim",IF(B29="Residencial Novo",'Premissas &amp; Cenários'!$B$38,IF(B29="Lote Residencial",'Premissas &amp; Cenários'!$B$39,0)),0)</f>
        <v/>
      </c>
      <c r="G29" s="44">
        <f>IF(E29="Sim",MIN(C29,IFERROR('Premissas &amp; Cenários'!$G$57*C29/SUMIFS($C$13:$C$112,$E$13:$E$112,"Sim"),0)),0)</f>
        <v/>
      </c>
      <c r="H29" s="89" t="inlineStr">
        <is>
          <t>PENDENTE</t>
        </is>
      </c>
      <c r="I29" s="91">
        <f>IF(OR(A29="",B29="",C29="",H29="PENDENTE"),"PENDENTE","OK")</f>
        <v/>
      </c>
    </row>
    <row r="30" ht="30" customHeight="1">
      <c r="A30" s="89" t="inlineStr">
        <is>
          <t>U018</t>
        </is>
      </c>
      <c r="B30" s="89" t="inlineStr">
        <is>
          <t>Residencial Novo</t>
        </is>
      </c>
      <c r="C30" s="90" t="n">
        <v>2806818.18181818</v>
      </c>
      <c r="D30" s="89" t="inlineStr">
        <is>
          <t>Não</t>
        </is>
      </c>
      <c r="E30" s="91">
        <f>IF(D30="Sim","Não","Sim")</f>
        <v/>
      </c>
      <c r="F30" s="44">
        <f>IF(E30="Sim",IF(B30="Residencial Novo",'Premissas &amp; Cenários'!$B$38,IF(B30="Lote Residencial",'Premissas &amp; Cenários'!$B$39,0)),0)</f>
        <v/>
      </c>
      <c r="G30" s="44">
        <f>IF(E30="Sim",MIN(C30,IFERROR('Premissas &amp; Cenários'!$G$57*C30/SUMIFS($C$13:$C$112,$E$13:$E$112,"Sim"),0)),0)</f>
        <v/>
      </c>
      <c r="H30" s="89" t="inlineStr">
        <is>
          <t>PENDENTE</t>
        </is>
      </c>
      <c r="I30" s="91">
        <f>IF(OR(A30="",B30="",C30="",H30="PENDENTE"),"PENDENTE","OK")</f>
        <v/>
      </c>
    </row>
    <row r="31" ht="30" customHeight="1">
      <c r="A31" s="89" t="inlineStr">
        <is>
          <t>U019</t>
        </is>
      </c>
      <c r="B31" s="89" t="inlineStr">
        <is>
          <t>Residencial Novo</t>
        </is>
      </c>
      <c r="C31" s="90" t="n">
        <v>2806818.18181818</v>
      </c>
      <c r="D31" s="89" t="inlineStr">
        <is>
          <t>Não</t>
        </is>
      </c>
      <c r="E31" s="91">
        <f>IF(D31="Sim","Não","Sim")</f>
        <v/>
      </c>
      <c r="F31" s="44">
        <f>IF(E31="Sim",IF(B31="Residencial Novo",'Premissas &amp; Cenários'!$B$38,IF(B31="Lote Residencial",'Premissas &amp; Cenários'!$B$39,0)),0)</f>
        <v/>
      </c>
      <c r="G31" s="44">
        <f>IF(E31="Sim",MIN(C31,IFERROR('Premissas &amp; Cenários'!$G$57*C31/SUMIFS($C$13:$C$112,$E$13:$E$112,"Sim"),0)),0)</f>
        <v/>
      </c>
      <c r="H31" s="89" t="inlineStr">
        <is>
          <t>PENDENTE</t>
        </is>
      </c>
      <c r="I31" s="91">
        <f>IF(OR(A31="",B31="",C31="",H31="PENDENTE"),"PENDENTE","OK")</f>
        <v/>
      </c>
    </row>
    <row r="32" ht="30" customHeight="1">
      <c r="A32" s="89" t="inlineStr">
        <is>
          <t>U020</t>
        </is>
      </c>
      <c r="B32" s="89" t="inlineStr">
        <is>
          <t>Residencial Novo</t>
        </is>
      </c>
      <c r="C32" s="90" t="n">
        <v>2806818.18181818</v>
      </c>
      <c r="D32" s="89" t="inlineStr">
        <is>
          <t>Não</t>
        </is>
      </c>
      <c r="E32" s="91">
        <f>IF(D32="Sim","Não","Sim")</f>
        <v/>
      </c>
      <c r="F32" s="44">
        <f>IF(E32="Sim",IF(B32="Residencial Novo",'Premissas &amp; Cenários'!$B$38,IF(B32="Lote Residencial",'Premissas &amp; Cenários'!$B$39,0)),0)</f>
        <v/>
      </c>
      <c r="G32" s="44">
        <f>IF(E32="Sim",MIN(C32,IFERROR('Premissas &amp; Cenários'!$G$57*C32/SUMIFS($C$13:$C$112,$E$13:$E$112,"Sim"),0)),0)</f>
        <v/>
      </c>
      <c r="H32" s="89" t="inlineStr">
        <is>
          <t>PENDENTE</t>
        </is>
      </c>
      <c r="I32" s="91">
        <f>IF(OR(A32="",B32="",C32="",H32="PENDENTE"),"PENDENTE","OK")</f>
        <v/>
      </c>
    </row>
    <row r="33" ht="30" customHeight="1">
      <c r="A33" s="89" t="inlineStr">
        <is>
          <t>U021</t>
        </is>
      </c>
      <c r="B33" s="89" t="inlineStr">
        <is>
          <t>Residencial Novo</t>
        </is>
      </c>
      <c r="C33" s="90" t="n">
        <v>2806818.18181818</v>
      </c>
      <c r="D33" s="89" t="inlineStr">
        <is>
          <t>Não</t>
        </is>
      </c>
      <c r="E33" s="91">
        <f>IF(D33="Sim","Não","Sim")</f>
        <v/>
      </c>
      <c r="F33" s="44">
        <f>IF(E33="Sim",IF(B33="Residencial Novo",'Premissas &amp; Cenários'!$B$38,IF(B33="Lote Residencial",'Premissas &amp; Cenários'!$B$39,0)),0)</f>
        <v/>
      </c>
      <c r="G33" s="44">
        <f>IF(E33="Sim",MIN(C33,IFERROR('Premissas &amp; Cenários'!$G$57*C33/SUMIFS($C$13:$C$112,$E$13:$E$112,"Sim"),0)),0)</f>
        <v/>
      </c>
      <c r="H33" s="89" t="inlineStr">
        <is>
          <t>PENDENTE</t>
        </is>
      </c>
      <c r="I33" s="91">
        <f>IF(OR(A33="",B33="",C33="",H33="PENDENTE"),"PENDENTE","OK")</f>
        <v/>
      </c>
    </row>
    <row r="34" ht="30" customHeight="1">
      <c r="A34" s="89" t="inlineStr">
        <is>
          <t>U022</t>
        </is>
      </c>
      <c r="B34" s="89" t="inlineStr">
        <is>
          <t>Residencial Novo</t>
        </is>
      </c>
      <c r="C34" s="90" t="n">
        <v>2806818.18181818</v>
      </c>
      <c r="D34" s="89" t="inlineStr">
        <is>
          <t>Não</t>
        </is>
      </c>
      <c r="E34" s="91">
        <f>IF(D34="Sim","Não","Sim")</f>
        <v/>
      </c>
      <c r="F34" s="44">
        <f>IF(E34="Sim",IF(B34="Residencial Novo",'Premissas &amp; Cenários'!$B$38,IF(B34="Lote Residencial",'Premissas &amp; Cenários'!$B$39,0)),0)</f>
        <v/>
      </c>
      <c r="G34" s="44">
        <f>IF(E34="Sim",MIN(C34,IFERROR('Premissas &amp; Cenários'!$G$57*C34/SUMIFS($C$13:$C$112,$E$13:$E$112,"Sim"),0)),0)</f>
        <v/>
      </c>
      <c r="H34" s="89" t="inlineStr">
        <is>
          <t>PENDENTE</t>
        </is>
      </c>
      <c r="I34" s="91">
        <f>IF(OR(A34="",B34="",C34="",H34="PENDENTE"),"PENDENTE","OK")</f>
        <v/>
      </c>
    </row>
    <row r="35" ht="30" customHeight="1">
      <c r="A35" s="89" t="inlineStr">
        <is>
          <t>U023</t>
        </is>
      </c>
      <c r="B35" s="89" t="inlineStr">
        <is>
          <t>Residencial Novo</t>
        </is>
      </c>
      <c r="C35" s="90" t="n">
        <v>2806818.18181818</v>
      </c>
      <c r="D35" s="89" t="inlineStr">
        <is>
          <t>Não</t>
        </is>
      </c>
      <c r="E35" s="91">
        <f>IF(D35="Sim","Não","Sim")</f>
        <v/>
      </c>
      <c r="F35" s="44">
        <f>IF(E35="Sim",IF(B35="Residencial Novo",'Premissas &amp; Cenários'!$B$38,IF(B35="Lote Residencial",'Premissas &amp; Cenários'!$B$39,0)),0)</f>
        <v/>
      </c>
      <c r="G35" s="44">
        <f>IF(E35="Sim",MIN(C35,IFERROR('Premissas &amp; Cenários'!$G$57*C35/SUMIFS($C$13:$C$112,$E$13:$E$112,"Sim"),0)),0)</f>
        <v/>
      </c>
      <c r="H35" s="89" t="inlineStr">
        <is>
          <t>PENDENTE</t>
        </is>
      </c>
      <c r="I35" s="91">
        <f>IF(OR(A35="",B35="",C35="",H35="PENDENTE"),"PENDENTE","OK")</f>
        <v/>
      </c>
    </row>
    <row r="36" ht="30" customHeight="1">
      <c r="A36" s="89" t="inlineStr">
        <is>
          <t>U024</t>
        </is>
      </c>
      <c r="B36" s="89" t="inlineStr">
        <is>
          <t>Residencial Novo</t>
        </is>
      </c>
      <c r="C36" s="90" t="n">
        <v>2806818.18181818</v>
      </c>
      <c r="D36" s="89" t="inlineStr">
        <is>
          <t>Não</t>
        </is>
      </c>
      <c r="E36" s="91">
        <f>IF(D36="Sim","Não","Sim")</f>
        <v/>
      </c>
      <c r="F36" s="44">
        <f>IF(E36="Sim",IF(B36="Residencial Novo",'Premissas &amp; Cenários'!$B$38,IF(B36="Lote Residencial",'Premissas &amp; Cenários'!$B$39,0)),0)</f>
        <v/>
      </c>
      <c r="G36" s="44">
        <f>IF(E36="Sim",MIN(C36,IFERROR('Premissas &amp; Cenários'!$G$57*C36/SUMIFS($C$13:$C$112,$E$13:$E$112,"Sim"),0)),0)</f>
        <v/>
      </c>
      <c r="H36" s="89" t="inlineStr">
        <is>
          <t>PENDENTE</t>
        </is>
      </c>
      <c r="I36" s="91">
        <f>IF(OR(A36="",B36="",C36="",H36="PENDENTE"),"PENDENTE","OK")</f>
        <v/>
      </c>
    </row>
    <row r="37" ht="30" customHeight="1">
      <c r="A37" s="89" t="inlineStr">
        <is>
          <t>U025</t>
        </is>
      </c>
      <c r="B37" s="89" t="inlineStr">
        <is>
          <t>Residencial Novo</t>
        </is>
      </c>
      <c r="C37" s="90" t="n">
        <v>2806818.18181818</v>
      </c>
      <c r="D37" s="89" t="inlineStr">
        <is>
          <t>Não</t>
        </is>
      </c>
      <c r="E37" s="91">
        <f>IF(D37="Sim","Não","Sim")</f>
        <v/>
      </c>
      <c r="F37" s="44">
        <f>IF(E37="Sim",IF(B37="Residencial Novo",'Premissas &amp; Cenários'!$B$38,IF(B37="Lote Residencial",'Premissas &amp; Cenários'!$B$39,0)),0)</f>
        <v/>
      </c>
      <c r="G37" s="44">
        <f>IF(E37="Sim",MIN(C37,IFERROR('Premissas &amp; Cenários'!$G$57*C37/SUMIFS($C$13:$C$112,$E$13:$E$112,"Sim"),0)),0)</f>
        <v/>
      </c>
      <c r="H37" s="89" t="inlineStr">
        <is>
          <t>PENDENTE</t>
        </is>
      </c>
      <c r="I37" s="91">
        <f>IF(OR(A37="",B37="",C37="",H37="PENDENTE"),"PENDENTE","OK")</f>
        <v/>
      </c>
    </row>
    <row r="38" ht="30" customHeight="1">
      <c r="A38" s="89" t="inlineStr">
        <is>
          <t>U026</t>
        </is>
      </c>
      <c r="B38" s="89" t="inlineStr">
        <is>
          <t>Residencial Novo</t>
        </is>
      </c>
      <c r="C38" s="90" t="n">
        <v>2806818.18181818</v>
      </c>
      <c r="D38" s="89" t="inlineStr">
        <is>
          <t>Não</t>
        </is>
      </c>
      <c r="E38" s="91">
        <f>IF(D38="Sim","Não","Sim")</f>
        <v/>
      </c>
      <c r="F38" s="44">
        <f>IF(E38="Sim",IF(B38="Residencial Novo",'Premissas &amp; Cenários'!$B$38,IF(B38="Lote Residencial",'Premissas &amp; Cenários'!$B$39,0)),0)</f>
        <v/>
      </c>
      <c r="G38" s="44">
        <f>IF(E38="Sim",MIN(C38,IFERROR('Premissas &amp; Cenários'!$G$57*C38/SUMIFS($C$13:$C$112,$E$13:$E$112,"Sim"),0)),0)</f>
        <v/>
      </c>
      <c r="H38" s="89" t="inlineStr">
        <is>
          <t>PENDENTE</t>
        </is>
      </c>
      <c r="I38" s="91">
        <f>IF(OR(A38="",B38="",C38="",H38="PENDENTE"),"PENDENTE","OK")</f>
        <v/>
      </c>
    </row>
    <row r="39" ht="30" customHeight="1">
      <c r="A39" s="89" t="inlineStr">
        <is>
          <t>U027</t>
        </is>
      </c>
      <c r="B39" s="89" t="inlineStr">
        <is>
          <t>Residencial Novo</t>
        </is>
      </c>
      <c r="C39" s="90" t="n">
        <v>2806818.18181818</v>
      </c>
      <c r="D39" s="89" t="inlineStr">
        <is>
          <t>Não</t>
        </is>
      </c>
      <c r="E39" s="91">
        <f>IF(D39="Sim","Não","Sim")</f>
        <v/>
      </c>
      <c r="F39" s="44">
        <f>IF(E39="Sim",IF(B39="Residencial Novo",'Premissas &amp; Cenários'!$B$38,IF(B39="Lote Residencial",'Premissas &amp; Cenários'!$B$39,0)),0)</f>
        <v/>
      </c>
      <c r="G39" s="44">
        <f>IF(E39="Sim",MIN(C39,IFERROR('Premissas &amp; Cenários'!$G$57*C39/SUMIFS($C$13:$C$112,$E$13:$E$112,"Sim"),0)),0)</f>
        <v/>
      </c>
      <c r="H39" s="89" t="inlineStr">
        <is>
          <t>PENDENTE</t>
        </is>
      </c>
      <c r="I39" s="91">
        <f>IF(OR(A39="",B39="",C39="",H39="PENDENTE"),"PENDENTE","OK")</f>
        <v/>
      </c>
    </row>
    <row r="40" ht="30" customHeight="1">
      <c r="A40" s="89" t="inlineStr">
        <is>
          <t>U028</t>
        </is>
      </c>
      <c r="B40" s="89" t="inlineStr">
        <is>
          <t>Residencial Novo</t>
        </is>
      </c>
      <c r="C40" s="90" t="n">
        <v>2806818.18181818</v>
      </c>
      <c r="D40" s="89" t="inlineStr">
        <is>
          <t>Não</t>
        </is>
      </c>
      <c r="E40" s="91">
        <f>IF(D40="Sim","Não","Sim")</f>
        <v/>
      </c>
      <c r="F40" s="44">
        <f>IF(E40="Sim",IF(B40="Residencial Novo",'Premissas &amp; Cenários'!$B$38,IF(B40="Lote Residencial",'Premissas &amp; Cenários'!$B$39,0)),0)</f>
        <v/>
      </c>
      <c r="G40" s="44">
        <f>IF(E40="Sim",MIN(C40,IFERROR('Premissas &amp; Cenários'!$G$57*C40/SUMIFS($C$13:$C$112,$E$13:$E$112,"Sim"),0)),0)</f>
        <v/>
      </c>
      <c r="H40" s="89" t="inlineStr">
        <is>
          <t>PENDENTE</t>
        </is>
      </c>
      <c r="I40" s="91">
        <f>IF(OR(A40="",B40="",C40="",H40="PENDENTE"),"PENDENTE","OK")</f>
        <v/>
      </c>
    </row>
    <row r="41" ht="30" customHeight="1">
      <c r="A41" s="89" t="inlineStr">
        <is>
          <t>U029</t>
        </is>
      </c>
      <c r="B41" s="89" t="inlineStr">
        <is>
          <t>Residencial Novo</t>
        </is>
      </c>
      <c r="C41" s="90" t="n">
        <v>2806818.18181818</v>
      </c>
      <c r="D41" s="89" t="inlineStr">
        <is>
          <t>Não</t>
        </is>
      </c>
      <c r="E41" s="91">
        <f>IF(D41="Sim","Não","Sim")</f>
        <v/>
      </c>
      <c r="F41" s="44">
        <f>IF(E41="Sim",IF(B41="Residencial Novo",'Premissas &amp; Cenários'!$B$38,IF(B41="Lote Residencial",'Premissas &amp; Cenários'!$B$39,0)),0)</f>
        <v/>
      </c>
      <c r="G41" s="44">
        <f>IF(E41="Sim",MIN(C41,IFERROR('Premissas &amp; Cenários'!$G$57*C41/SUMIFS($C$13:$C$112,$E$13:$E$112,"Sim"),0)),0)</f>
        <v/>
      </c>
      <c r="H41" s="89" t="inlineStr">
        <is>
          <t>PENDENTE</t>
        </is>
      </c>
      <c r="I41" s="91">
        <f>IF(OR(A41="",B41="",C41="",H41="PENDENTE"),"PENDENTE","OK")</f>
        <v/>
      </c>
    </row>
    <row r="42" ht="30" customHeight="1">
      <c r="A42" s="89" t="inlineStr">
        <is>
          <t>U030</t>
        </is>
      </c>
      <c r="B42" s="89" t="inlineStr">
        <is>
          <t>Residencial Novo</t>
        </is>
      </c>
      <c r="C42" s="90" t="n">
        <v>2806818.18181818</v>
      </c>
      <c r="D42" s="89" t="inlineStr">
        <is>
          <t>Não</t>
        </is>
      </c>
      <c r="E42" s="91">
        <f>IF(D42="Sim","Não","Sim")</f>
        <v/>
      </c>
      <c r="F42" s="44">
        <f>IF(E42="Sim",IF(B42="Residencial Novo",'Premissas &amp; Cenários'!$B$38,IF(B42="Lote Residencial",'Premissas &amp; Cenários'!$B$39,0)),0)</f>
        <v/>
      </c>
      <c r="G42" s="44">
        <f>IF(E42="Sim",MIN(C42,IFERROR('Premissas &amp; Cenários'!$G$57*C42/SUMIFS($C$13:$C$112,$E$13:$E$112,"Sim"),0)),0)</f>
        <v/>
      </c>
      <c r="H42" s="89" t="inlineStr">
        <is>
          <t>PENDENTE</t>
        </is>
      </c>
      <c r="I42" s="91">
        <f>IF(OR(A42="",B42="",C42="",H42="PENDENTE"),"PENDENTE","OK")</f>
        <v/>
      </c>
    </row>
    <row r="43" ht="30" customHeight="1">
      <c r="A43" s="89" t="inlineStr">
        <is>
          <t>U031</t>
        </is>
      </c>
      <c r="B43" s="89" t="inlineStr">
        <is>
          <t>Residencial Novo</t>
        </is>
      </c>
      <c r="C43" s="90" t="n">
        <v>2806818.18181818</v>
      </c>
      <c r="D43" s="89" t="inlineStr">
        <is>
          <t>Não</t>
        </is>
      </c>
      <c r="E43" s="91">
        <f>IF(D43="Sim","Não","Sim")</f>
        <v/>
      </c>
      <c r="F43" s="44">
        <f>IF(E43="Sim",IF(B43="Residencial Novo",'Premissas &amp; Cenários'!$B$38,IF(B43="Lote Residencial",'Premissas &amp; Cenários'!$B$39,0)),0)</f>
        <v/>
      </c>
      <c r="G43" s="44">
        <f>IF(E43="Sim",MIN(C43,IFERROR('Premissas &amp; Cenários'!$G$57*C43/SUMIFS($C$13:$C$112,$E$13:$E$112,"Sim"),0)),0)</f>
        <v/>
      </c>
      <c r="H43" s="89" t="inlineStr">
        <is>
          <t>PENDENTE</t>
        </is>
      </c>
      <c r="I43" s="91">
        <f>IF(OR(A43="",B43="",C43="",H43="PENDENTE"),"PENDENTE","OK")</f>
        <v/>
      </c>
    </row>
    <row r="44" ht="30" customHeight="1">
      <c r="A44" s="89" t="inlineStr">
        <is>
          <t>U032</t>
        </is>
      </c>
      <c r="B44" s="89" t="inlineStr">
        <is>
          <t>Residencial Novo</t>
        </is>
      </c>
      <c r="C44" s="90" t="n">
        <v>2806818.18181818</v>
      </c>
      <c r="D44" s="89" t="inlineStr">
        <is>
          <t>Não</t>
        </is>
      </c>
      <c r="E44" s="91">
        <f>IF(D44="Sim","Não","Sim")</f>
        <v/>
      </c>
      <c r="F44" s="44">
        <f>IF(E44="Sim",IF(B44="Residencial Novo",'Premissas &amp; Cenários'!$B$38,IF(B44="Lote Residencial",'Premissas &amp; Cenários'!$B$39,0)),0)</f>
        <v/>
      </c>
      <c r="G44" s="44">
        <f>IF(E44="Sim",MIN(C44,IFERROR('Premissas &amp; Cenários'!$G$57*C44/SUMIFS($C$13:$C$112,$E$13:$E$112,"Sim"),0)),0)</f>
        <v/>
      </c>
      <c r="H44" s="89" t="inlineStr">
        <is>
          <t>PENDENTE</t>
        </is>
      </c>
      <c r="I44" s="91">
        <f>IF(OR(A44="",B44="",C44="",H44="PENDENTE"),"PENDENTE","OK")</f>
        <v/>
      </c>
    </row>
    <row r="45" ht="30" customHeight="1">
      <c r="A45" s="89" t="inlineStr">
        <is>
          <t>U033</t>
        </is>
      </c>
      <c r="B45" s="89" t="inlineStr">
        <is>
          <t>Residencial Novo</t>
        </is>
      </c>
      <c r="C45" s="90" t="n">
        <v>2806818.18181818</v>
      </c>
      <c r="D45" s="89" t="inlineStr">
        <is>
          <t>Não</t>
        </is>
      </c>
      <c r="E45" s="91">
        <f>IF(D45="Sim","Não","Sim")</f>
        <v/>
      </c>
      <c r="F45" s="44">
        <f>IF(E45="Sim",IF(B45="Residencial Novo",'Premissas &amp; Cenários'!$B$38,IF(B45="Lote Residencial",'Premissas &amp; Cenários'!$B$39,0)),0)</f>
        <v/>
      </c>
      <c r="G45" s="44">
        <f>IF(E45="Sim",MIN(C45,IFERROR('Premissas &amp; Cenários'!$G$57*C45/SUMIFS($C$13:$C$112,$E$13:$E$112,"Sim"),0)),0)</f>
        <v/>
      </c>
      <c r="H45" s="89" t="inlineStr">
        <is>
          <t>PENDENTE</t>
        </is>
      </c>
      <c r="I45" s="91">
        <f>IF(OR(A45="",B45="",C45="",H45="PENDENTE"),"PENDENTE","OK")</f>
        <v/>
      </c>
    </row>
    <row r="46" ht="30" customHeight="1">
      <c r="A46" s="89" t="inlineStr">
        <is>
          <t>U034</t>
        </is>
      </c>
      <c r="B46" s="89" t="inlineStr">
        <is>
          <t>Residencial Novo</t>
        </is>
      </c>
      <c r="C46" s="90" t="n">
        <v>2806818.18181818</v>
      </c>
      <c r="D46" s="89" t="inlineStr">
        <is>
          <t>Não</t>
        </is>
      </c>
      <c r="E46" s="91">
        <f>IF(D46="Sim","Não","Sim")</f>
        <v/>
      </c>
      <c r="F46" s="44">
        <f>IF(E46="Sim",IF(B46="Residencial Novo",'Premissas &amp; Cenários'!$B$38,IF(B46="Lote Residencial",'Premissas &amp; Cenários'!$B$39,0)),0)</f>
        <v/>
      </c>
      <c r="G46" s="44">
        <f>IF(E46="Sim",MIN(C46,IFERROR('Premissas &amp; Cenários'!$G$57*C46/SUMIFS($C$13:$C$112,$E$13:$E$112,"Sim"),0)),0)</f>
        <v/>
      </c>
      <c r="H46" s="89" t="inlineStr">
        <is>
          <t>PENDENTE</t>
        </is>
      </c>
      <c r="I46" s="91">
        <f>IF(OR(A46="",B46="",C46="",H46="PENDENTE"),"PENDENTE","OK")</f>
        <v/>
      </c>
    </row>
    <row r="47" ht="30" customHeight="1">
      <c r="A47" s="89" t="inlineStr">
        <is>
          <t>U035</t>
        </is>
      </c>
      <c r="B47" s="89" t="inlineStr">
        <is>
          <t>Residencial Novo</t>
        </is>
      </c>
      <c r="C47" s="90" t="n">
        <v>2806818.18181818</v>
      </c>
      <c r="D47" s="89" t="inlineStr">
        <is>
          <t>Não</t>
        </is>
      </c>
      <c r="E47" s="91">
        <f>IF(D47="Sim","Não","Sim")</f>
        <v/>
      </c>
      <c r="F47" s="44">
        <f>IF(E47="Sim",IF(B47="Residencial Novo",'Premissas &amp; Cenários'!$B$38,IF(B47="Lote Residencial",'Premissas &amp; Cenários'!$B$39,0)),0)</f>
        <v/>
      </c>
      <c r="G47" s="44">
        <f>IF(E47="Sim",MIN(C47,IFERROR('Premissas &amp; Cenários'!$G$57*C47/SUMIFS($C$13:$C$112,$E$13:$E$112,"Sim"),0)),0)</f>
        <v/>
      </c>
      <c r="H47" s="89" t="inlineStr">
        <is>
          <t>PENDENTE</t>
        </is>
      </c>
      <c r="I47" s="91">
        <f>IF(OR(A47="",B47="",C47="",H47="PENDENTE"),"PENDENTE","OK")</f>
        <v/>
      </c>
    </row>
    <row r="48" ht="30" customHeight="1">
      <c r="A48" s="89" t="inlineStr">
        <is>
          <t>U036</t>
        </is>
      </c>
      <c r="B48" s="89" t="inlineStr">
        <is>
          <t>Residencial Novo</t>
        </is>
      </c>
      <c r="C48" s="90" t="n">
        <v>2806818.18181818</v>
      </c>
      <c r="D48" s="89" t="inlineStr">
        <is>
          <t>Não</t>
        </is>
      </c>
      <c r="E48" s="91">
        <f>IF(D48="Sim","Não","Sim")</f>
        <v/>
      </c>
      <c r="F48" s="44">
        <f>IF(E48="Sim",IF(B48="Residencial Novo",'Premissas &amp; Cenários'!$B$38,IF(B48="Lote Residencial",'Premissas &amp; Cenários'!$B$39,0)),0)</f>
        <v/>
      </c>
      <c r="G48" s="44">
        <f>IF(E48="Sim",MIN(C48,IFERROR('Premissas &amp; Cenários'!$G$57*C48/SUMIFS($C$13:$C$112,$E$13:$E$112,"Sim"),0)),0)</f>
        <v/>
      </c>
      <c r="H48" s="89" t="inlineStr">
        <is>
          <t>PENDENTE</t>
        </is>
      </c>
      <c r="I48" s="91">
        <f>IF(OR(A48="",B48="",C48="",H48="PENDENTE"),"PENDENTE","OK")</f>
        <v/>
      </c>
    </row>
    <row r="49" ht="30" customHeight="1">
      <c r="A49" s="89" t="inlineStr">
        <is>
          <t>U037</t>
        </is>
      </c>
      <c r="B49" s="89" t="inlineStr">
        <is>
          <t>Residencial Novo</t>
        </is>
      </c>
      <c r="C49" s="90" t="n">
        <v>2806818.18181818</v>
      </c>
      <c r="D49" s="89" t="inlineStr">
        <is>
          <t>Não</t>
        </is>
      </c>
      <c r="E49" s="91">
        <f>IF(D49="Sim","Não","Sim")</f>
        <v/>
      </c>
      <c r="F49" s="44">
        <f>IF(E49="Sim",IF(B49="Residencial Novo",'Premissas &amp; Cenários'!$B$38,IF(B49="Lote Residencial",'Premissas &amp; Cenários'!$B$39,0)),0)</f>
        <v/>
      </c>
      <c r="G49" s="44">
        <f>IF(E49="Sim",MIN(C49,IFERROR('Premissas &amp; Cenários'!$G$57*C49/SUMIFS($C$13:$C$112,$E$13:$E$112,"Sim"),0)),0)</f>
        <v/>
      </c>
      <c r="H49" s="89" t="inlineStr">
        <is>
          <t>PENDENTE</t>
        </is>
      </c>
      <c r="I49" s="91">
        <f>IF(OR(A49="",B49="",C49="",H49="PENDENTE"),"PENDENTE","OK")</f>
        <v/>
      </c>
    </row>
    <row r="50" ht="30" customHeight="1">
      <c r="A50" s="89" t="inlineStr">
        <is>
          <t>U038</t>
        </is>
      </c>
      <c r="B50" s="89" t="inlineStr">
        <is>
          <t>Residencial Novo</t>
        </is>
      </c>
      <c r="C50" s="90" t="n">
        <v>2806818.18181818</v>
      </c>
      <c r="D50" s="89" t="inlineStr">
        <is>
          <t>Não</t>
        </is>
      </c>
      <c r="E50" s="91">
        <f>IF(D50="Sim","Não","Sim")</f>
        <v/>
      </c>
      <c r="F50" s="44">
        <f>IF(E50="Sim",IF(B50="Residencial Novo",'Premissas &amp; Cenários'!$B$38,IF(B50="Lote Residencial",'Premissas &amp; Cenários'!$B$39,0)),0)</f>
        <v/>
      </c>
      <c r="G50" s="44">
        <f>IF(E50="Sim",MIN(C50,IFERROR('Premissas &amp; Cenários'!$G$57*C50/SUMIFS($C$13:$C$112,$E$13:$E$112,"Sim"),0)),0)</f>
        <v/>
      </c>
      <c r="H50" s="89" t="inlineStr">
        <is>
          <t>PENDENTE</t>
        </is>
      </c>
      <c r="I50" s="91">
        <f>IF(OR(A50="",B50="",C50="",H50="PENDENTE"),"PENDENTE","OK")</f>
        <v/>
      </c>
    </row>
    <row r="51" ht="30" customHeight="1">
      <c r="A51" s="89" t="inlineStr">
        <is>
          <t>U039</t>
        </is>
      </c>
      <c r="B51" s="89" t="inlineStr">
        <is>
          <t>Residencial Novo</t>
        </is>
      </c>
      <c r="C51" s="90" t="n">
        <v>2806818.18181818</v>
      </c>
      <c r="D51" s="89" t="inlineStr">
        <is>
          <t>Não</t>
        </is>
      </c>
      <c r="E51" s="91">
        <f>IF(D51="Sim","Não","Sim")</f>
        <v/>
      </c>
      <c r="F51" s="44">
        <f>IF(E51="Sim",IF(B51="Residencial Novo",'Premissas &amp; Cenários'!$B$38,IF(B51="Lote Residencial",'Premissas &amp; Cenários'!$B$39,0)),0)</f>
        <v/>
      </c>
      <c r="G51" s="44">
        <f>IF(E51="Sim",MIN(C51,IFERROR('Premissas &amp; Cenários'!$G$57*C51/SUMIFS($C$13:$C$112,$E$13:$E$112,"Sim"),0)),0)</f>
        <v/>
      </c>
      <c r="H51" s="89" t="inlineStr">
        <is>
          <t>PENDENTE</t>
        </is>
      </c>
      <c r="I51" s="91">
        <f>IF(OR(A51="",B51="",C51="",H51="PENDENTE"),"PENDENTE","OK")</f>
        <v/>
      </c>
    </row>
    <row r="52" ht="30" customHeight="1">
      <c r="A52" s="89" t="inlineStr">
        <is>
          <t>U040</t>
        </is>
      </c>
      <c r="B52" s="89" t="inlineStr">
        <is>
          <t>Residencial Novo</t>
        </is>
      </c>
      <c r="C52" s="90" t="n">
        <v>2806818.18181818</v>
      </c>
      <c r="D52" s="89" t="inlineStr">
        <is>
          <t>Não</t>
        </is>
      </c>
      <c r="E52" s="91">
        <f>IF(D52="Sim","Não","Sim")</f>
        <v/>
      </c>
      <c r="F52" s="44">
        <f>IF(E52="Sim",IF(B52="Residencial Novo",'Premissas &amp; Cenários'!$B$38,IF(B52="Lote Residencial",'Premissas &amp; Cenários'!$B$39,0)),0)</f>
        <v/>
      </c>
      <c r="G52" s="44">
        <f>IF(E52="Sim",MIN(C52,IFERROR('Premissas &amp; Cenários'!$G$57*C52/SUMIFS($C$13:$C$112,$E$13:$E$112,"Sim"),0)),0)</f>
        <v/>
      </c>
      <c r="H52" s="89" t="inlineStr">
        <is>
          <t>PENDENTE</t>
        </is>
      </c>
      <c r="I52" s="91">
        <f>IF(OR(A52="",B52="",C52="",H52="PENDENTE"),"PENDENTE","OK")</f>
        <v/>
      </c>
    </row>
    <row r="53" ht="30" customHeight="1">
      <c r="A53" s="89" t="inlineStr">
        <is>
          <t>U041</t>
        </is>
      </c>
      <c r="B53" s="89" t="inlineStr">
        <is>
          <t>Residencial Novo</t>
        </is>
      </c>
      <c r="C53" s="90" t="n">
        <v>2806818.18181818</v>
      </c>
      <c r="D53" s="89" t="inlineStr">
        <is>
          <t>Não</t>
        </is>
      </c>
      <c r="E53" s="91">
        <f>IF(D53="Sim","Não","Sim")</f>
        <v/>
      </c>
      <c r="F53" s="44">
        <f>IF(E53="Sim",IF(B53="Residencial Novo",'Premissas &amp; Cenários'!$B$38,IF(B53="Lote Residencial",'Premissas &amp; Cenários'!$B$39,0)),0)</f>
        <v/>
      </c>
      <c r="G53" s="44">
        <f>IF(E53="Sim",MIN(C53,IFERROR('Premissas &amp; Cenários'!$G$57*C53/SUMIFS($C$13:$C$112,$E$13:$E$112,"Sim"),0)),0)</f>
        <v/>
      </c>
      <c r="H53" s="89" t="inlineStr">
        <is>
          <t>PENDENTE</t>
        </is>
      </c>
      <c r="I53" s="91">
        <f>IF(OR(A53="",B53="",C53="",H53="PENDENTE"),"PENDENTE","OK")</f>
        <v/>
      </c>
    </row>
    <row r="54" ht="30" customHeight="1">
      <c r="A54" s="89" t="inlineStr">
        <is>
          <t>U042</t>
        </is>
      </c>
      <c r="B54" s="89" t="inlineStr">
        <is>
          <t>Residencial Novo</t>
        </is>
      </c>
      <c r="C54" s="90" t="n">
        <v>2806818.18181818</v>
      </c>
      <c r="D54" s="89" t="inlineStr">
        <is>
          <t>Não</t>
        </is>
      </c>
      <c r="E54" s="91">
        <f>IF(D54="Sim","Não","Sim")</f>
        <v/>
      </c>
      <c r="F54" s="44">
        <f>IF(E54="Sim",IF(B54="Residencial Novo",'Premissas &amp; Cenários'!$B$38,IF(B54="Lote Residencial",'Premissas &amp; Cenários'!$B$39,0)),0)</f>
        <v/>
      </c>
      <c r="G54" s="44">
        <f>IF(E54="Sim",MIN(C54,IFERROR('Premissas &amp; Cenários'!$G$57*C54/SUMIFS($C$13:$C$112,$E$13:$E$112,"Sim"),0)),0)</f>
        <v/>
      </c>
      <c r="H54" s="89" t="inlineStr">
        <is>
          <t>PENDENTE</t>
        </is>
      </c>
      <c r="I54" s="91">
        <f>IF(OR(A54="",B54="",C54="",H54="PENDENTE"),"PENDENTE","OK")</f>
        <v/>
      </c>
    </row>
    <row r="55" ht="30" customHeight="1">
      <c r="A55" s="89" t="inlineStr">
        <is>
          <t>U043</t>
        </is>
      </c>
      <c r="B55" s="89" t="inlineStr">
        <is>
          <t>Residencial Novo</t>
        </is>
      </c>
      <c r="C55" s="90" t="n">
        <v>2806818.18181818</v>
      </c>
      <c r="D55" s="89" t="inlineStr">
        <is>
          <t>Não</t>
        </is>
      </c>
      <c r="E55" s="91">
        <f>IF(D55="Sim","Não","Sim")</f>
        <v/>
      </c>
      <c r="F55" s="44">
        <f>IF(E55="Sim",IF(B55="Residencial Novo",'Premissas &amp; Cenários'!$B$38,IF(B55="Lote Residencial",'Premissas &amp; Cenários'!$B$39,0)),0)</f>
        <v/>
      </c>
      <c r="G55" s="44">
        <f>IF(E55="Sim",MIN(C55,IFERROR('Premissas &amp; Cenários'!$G$57*C55/SUMIFS($C$13:$C$112,$E$13:$E$112,"Sim"),0)),0)</f>
        <v/>
      </c>
      <c r="H55" s="89" t="inlineStr">
        <is>
          <t>PENDENTE</t>
        </is>
      </c>
      <c r="I55" s="91">
        <f>IF(OR(A55="",B55="",C55="",H55="PENDENTE"),"PENDENTE","OK")</f>
        <v/>
      </c>
    </row>
    <row r="56" ht="30" customHeight="1">
      <c r="A56" s="89" t="inlineStr">
        <is>
          <t>U044</t>
        </is>
      </c>
      <c r="B56" s="89" t="inlineStr">
        <is>
          <t>Residencial Novo</t>
        </is>
      </c>
      <c r="C56" s="90" t="n">
        <v>2806818.18181818</v>
      </c>
      <c r="D56" s="89" t="inlineStr">
        <is>
          <t>Não</t>
        </is>
      </c>
      <c r="E56" s="91">
        <f>IF(D56="Sim","Não","Sim")</f>
        <v/>
      </c>
      <c r="F56" s="44">
        <f>IF(E56="Sim",IF(B56="Residencial Novo",'Premissas &amp; Cenários'!$B$38,IF(B56="Lote Residencial",'Premissas &amp; Cenários'!$B$39,0)),0)</f>
        <v/>
      </c>
      <c r="G56" s="44">
        <f>IF(E56="Sim",MIN(C56,IFERROR('Premissas &amp; Cenários'!$G$57*C56/SUMIFS($C$13:$C$112,$E$13:$E$112,"Sim"),0)),0)</f>
        <v/>
      </c>
      <c r="H56" s="89" t="inlineStr">
        <is>
          <t>PENDENTE</t>
        </is>
      </c>
      <c r="I56" s="91">
        <f>IF(OR(A56="",B56="",C56="",H56="PENDENTE"),"PENDENTE","OK")</f>
        <v/>
      </c>
    </row>
    <row r="57" ht="30" customHeight="1">
      <c r="A57" s="89" t="inlineStr">
        <is>
          <t>U045</t>
        </is>
      </c>
      <c r="B57" s="89" t="inlineStr">
        <is>
          <t>Residencial Novo</t>
        </is>
      </c>
      <c r="C57" s="90" t="n">
        <v>2806818.18181818</v>
      </c>
      <c r="D57" s="89" t="inlineStr">
        <is>
          <t>Não</t>
        </is>
      </c>
      <c r="E57" s="91">
        <f>IF(D57="Sim","Não","Sim")</f>
        <v/>
      </c>
      <c r="F57" s="44">
        <f>IF(E57="Sim",IF(B57="Residencial Novo",'Premissas &amp; Cenários'!$B$38,IF(B57="Lote Residencial",'Premissas &amp; Cenários'!$B$39,0)),0)</f>
        <v/>
      </c>
      <c r="G57" s="44">
        <f>IF(E57="Sim",MIN(C57,IFERROR('Premissas &amp; Cenários'!$G$57*C57/SUMIFS($C$13:$C$112,$E$13:$E$112,"Sim"),0)),0)</f>
        <v/>
      </c>
      <c r="H57" s="89" t="inlineStr">
        <is>
          <t>PENDENTE</t>
        </is>
      </c>
      <c r="I57" s="91">
        <f>IF(OR(A57="",B57="",C57="",H57="PENDENTE"),"PENDENTE","OK")</f>
        <v/>
      </c>
    </row>
    <row r="58" ht="30" customHeight="1">
      <c r="A58" s="89" t="inlineStr">
        <is>
          <t>U046</t>
        </is>
      </c>
      <c r="B58" s="89" t="inlineStr">
        <is>
          <t>Residencial Novo</t>
        </is>
      </c>
      <c r="C58" s="90" t="n">
        <v>2806818.18181818</v>
      </c>
      <c r="D58" s="89" t="inlineStr">
        <is>
          <t>Não</t>
        </is>
      </c>
      <c r="E58" s="91">
        <f>IF(D58="Sim","Não","Sim")</f>
        <v/>
      </c>
      <c r="F58" s="44">
        <f>IF(E58="Sim",IF(B58="Residencial Novo",'Premissas &amp; Cenários'!$B$38,IF(B58="Lote Residencial",'Premissas &amp; Cenários'!$B$39,0)),0)</f>
        <v/>
      </c>
      <c r="G58" s="44">
        <f>IF(E58="Sim",MIN(C58,IFERROR('Premissas &amp; Cenários'!$G$57*C58/SUMIFS($C$13:$C$112,$E$13:$E$112,"Sim"),0)),0)</f>
        <v/>
      </c>
      <c r="H58" s="89" t="inlineStr">
        <is>
          <t>PENDENTE</t>
        </is>
      </c>
      <c r="I58" s="91">
        <f>IF(OR(A58="",B58="",C58="",H58="PENDENTE"),"PENDENTE","OK")</f>
        <v/>
      </c>
    </row>
    <row r="59" ht="30" customHeight="1">
      <c r="A59" s="89" t="inlineStr">
        <is>
          <t>U047</t>
        </is>
      </c>
      <c r="B59" s="89" t="inlineStr">
        <is>
          <t>Residencial Novo</t>
        </is>
      </c>
      <c r="C59" s="90" t="n">
        <v>2806818.18181818</v>
      </c>
      <c r="D59" s="89" t="inlineStr">
        <is>
          <t>Não</t>
        </is>
      </c>
      <c r="E59" s="91">
        <f>IF(D59="Sim","Não","Sim")</f>
        <v/>
      </c>
      <c r="F59" s="44">
        <f>IF(E59="Sim",IF(B59="Residencial Novo",'Premissas &amp; Cenários'!$B$38,IF(B59="Lote Residencial",'Premissas &amp; Cenários'!$B$39,0)),0)</f>
        <v/>
      </c>
      <c r="G59" s="44">
        <f>IF(E59="Sim",MIN(C59,IFERROR('Premissas &amp; Cenários'!$G$57*C59/SUMIFS($C$13:$C$112,$E$13:$E$112,"Sim"),0)),0)</f>
        <v/>
      </c>
      <c r="H59" s="89" t="inlineStr">
        <is>
          <t>PENDENTE</t>
        </is>
      </c>
      <c r="I59" s="91">
        <f>IF(OR(A59="",B59="",C59="",H59="PENDENTE"),"PENDENTE","OK")</f>
        <v/>
      </c>
    </row>
    <row r="60" ht="30" customHeight="1">
      <c r="A60" s="89" t="inlineStr">
        <is>
          <t>U048</t>
        </is>
      </c>
      <c r="B60" s="89" t="inlineStr">
        <is>
          <t>Residencial Novo</t>
        </is>
      </c>
      <c r="C60" s="90" t="n">
        <v>2806818.18181818</v>
      </c>
      <c r="D60" s="89" t="inlineStr">
        <is>
          <t>Não</t>
        </is>
      </c>
      <c r="E60" s="91">
        <f>IF(D60="Sim","Não","Sim")</f>
        <v/>
      </c>
      <c r="F60" s="44">
        <f>IF(E60="Sim",IF(B60="Residencial Novo",'Premissas &amp; Cenários'!$B$38,IF(B60="Lote Residencial",'Premissas &amp; Cenários'!$B$39,0)),0)</f>
        <v/>
      </c>
      <c r="G60" s="44">
        <f>IF(E60="Sim",MIN(C60,IFERROR('Premissas &amp; Cenários'!$G$57*C60/SUMIFS($C$13:$C$112,$E$13:$E$112,"Sim"),0)),0)</f>
        <v/>
      </c>
      <c r="H60" s="89" t="inlineStr">
        <is>
          <t>PENDENTE</t>
        </is>
      </c>
      <c r="I60" s="91">
        <f>IF(OR(A60="",B60="",C60="",H60="PENDENTE"),"PENDENTE","OK")</f>
        <v/>
      </c>
    </row>
    <row r="61" ht="30" customHeight="1">
      <c r="A61" s="89" t="inlineStr">
        <is>
          <t>U049</t>
        </is>
      </c>
      <c r="B61" s="89" t="inlineStr">
        <is>
          <t>Residencial Novo</t>
        </is>
      </c>
      <c r="C61" s="90" t="n">
        <v>2806818.18181818</v>
      </c>
      <c r="D61" s="89" t="inlineStr">
        <is>
          <t>Não</t>
        </is>
      </c>
      <c r="E61" s="91">
        <f>IF(D61="Sim","Não","Sim")</f>
        <v/>
      </c>
      <c r="F61" s="44">
        <f>IF(E61="Sim",IF(B61="Residencial Novo",'Premissas &amp; Cenários'!$B$38,IF(B61="Lote Residencial",'Premissas &amp; Cenários'!$B$39,0)),0)</f>
        <v/>
      </c>
      <c r="G61" s="44">
        <f>IF(E61="Sim",MIN(C61,IFERROR('Premissas &amp; Cenários'!$G$57*C61/SUMIFS($C$13:$C$112,$E$13:$E$112,"Sim"),0)),0)</f>
        <v/>
      </c>
      <c r="H61" s="89" t="inlineStr">
        <is>
          <t>PENDENTE</t>
        </is>
      </c>
      <c r="I61" s="91">
        <f>IF(OR(A61="",B61="",C61="",H61="PENDENTE"),"PENDENTE","OK")</f>
        <v/>
      </c>
    </row>
    <row r="62" ht="30" customHeight="1">
      <c r="A62" s="89" t="inlineStr">
        <is>
          <t>U050</t>
        </is>
      </c>
      <c r="B62" s="89" t="inlineStr">
        <is>
          <t>Residencial Novo</t>
        </is>
      </c>
      <c r="C62" s="90" t="n">
        <v>2806818.18181818</v>
      </c>
      <c r="D62" s="89" t="inlineStr">
        <is>
          <t>Não</t>
        </is>
      </c>
      <c r="E62" s="91">
        <f>IF(D62="Sim","Não","Sim")</f>
        <v/>
      </c>
      <c r="F62" s="44">
        <f>IF(E62="Sim",IF(B62="Residencial Novo",'Premissas &amp; Cenários'!$B$38,IF(B62="Lote Residencial",'Premissas &amp; Cenários'!$B$39,0)),0)</f>
        <v/>
      </c>
      <c r="G62" s="44">
        <f>IF(E62="Sim",MIN(C62,IFERROR('Premissas &amp; Cenários'!$G$57*C62/SUMIFS($C$13:$C$112,$E$13:$E$112,"Sim"),0)),0)</f>
        <v/>
      </c>
      <c r="H62" s="89" t="inlineStr">
        <is>
          <t>PENDENTE</t>
        </is>
      </c>
      <c r="I62" s="91">
        <f>IF(OR(A62="",B62="",C62="",H62="PENDENTE"),"PENDENTE","OK")</f>
        <v/>
      </c>
    </row>
    <row r="63" ht="30" customHeight="1">
      <c r="A63" s="89" t="inlineStr">
        <is>
          <t>U051</t>
        </is>
      </c>
      <c r="B63" s="89" t="inlineStr">
        <is>
          <t>Residencial Novo</t>
        </is>
      </c>
      <c r="C63" s="90" t="n">
        <v>2806818.18181818</v>
      </c>
      <c r="D63" s="89" t="inlineStr">
        <is>
          <t>Não</t>
        </is>
      </c>
      <c r="E63" s="91">
        <f>IF(D63="Sim","Não","Sim")</f>
        <v/>
      </c>
      <c r="F63" s="44">
        <f>IF(E63="Sim",IF(B63="Residencial Novo",'Premissas &amp; Cenários'!$B$38,IF(B63="Lote Residencial",'Premissas &amp; Cenários'!$B$39,0)),0)</f>
        <v/>
      </c>
      <c r="G63" s="44">
        <f>IF(E63="Sim",MIN(C63,IFERROR('Premissas &amp; Cenários'!$G$57*C63/SUMIFS($C$13:$C$112,$E$13:$E$112,"Sim"),0)),0)</f>
        <v/>
      </c>
      <c r="H63" s="89" t="inlineStr">
        <is>
          <t>PENDENTE</t>
        </is>
      </c>
      <c r="I63" s="91">
        <f>IF(OR(A63="",B63="",C63="",H63="PENDENTE"),"PENDENTE","OK")</f>
        <v/>
      </c>
    </row>
    <row r="64" ht="30" customHeight="1">
      <c r="A64" s="89" t="inlineStr">
        <is>
          <t>U052</t>
        </is>
      </c>
      <c r="B64" s="89" t="inlineStr">
        <is>
          <t>Residencial Novo</t>
        </is>
      </c>
      <c r="C64" s="90" t="n">
        <v>2806818.18181818</v>
      </c>
      <c r="D64" s="89" t="inlineStr">
        <is>
          <t>Não</t>
        </is>
      </c>
      <c r="E64" s="91">
        <f>IF(D64="Sim","Não","Sim")</f>
        <v/>
      </c>
      <c r="F64" s="44">
        <f>IF(E64="Sim",IF(B64="Residencial Novo",'Premissas &amp; Cenários'!$B$38,IF(B64="Lote Residencial",'Premissas &amp; Cenários'!$B$39,0)),0)</f>
        <v/>
      </c>
      <c r="G64" s="44">
        <f>IF(E64="Sim",MIN(C64,IFERROR('Premissas &amp; Cenários'!$G$57*C64/SUMIFS($C$13:$C$112,$E$13:$E$112,"Sim"),0)),0)</f>
        <v/>
      </c>
      <c r="H64" s="89" t="inlineStr">
        <is>
          <t>PENDENTE</t>
        </is>
      </c>
      <c r="I64" s="91">
        <f>IF(OR(A64="",B64="",C64="",H64="PENDENTE"),"PENDENTE","OK")</f>
        <v/>
      </c>
    </row>
    <row r="65" ht="30" customHeight="1">
      <c r="A65" s="89" t="inlineStr">
        <is>
          <t>U053</t>
        </is>
      </c>
      <c r="B65" s="89" t="inlineStr">
        <is>
          <t>Residencial Novo</t>
        </is>
      </c>
      <c r="C65" s="90" t="n">
        <v>2806818.18181818</v>
      </c>
      <c r="D65" s="89" t="inlineStr">
        <is>
          <t>Não</t>
        </is>
      </c>
      <c r="E65" s="91">
        <f>IF(D65="Sim","Não","Sim")</f>
        <v/>
      </c>
      <c r="F65" s="44">
        <f>IF(E65="Sim",IF(B65="Residencial Novo",'Premissas &amp; Cenários'!$B$38,IF(B65="Lote Residencial",'Premissas &amp; Cenários'!$B$39,0)),0)</f>
        <v/>
      </c>
      <c r="G65" s="44">
        <f>IF(E65="Sim",MIN(C65,IFERROR('Premissas &amp; Cenários'!$G$57*C65/SUMIFS($C$13:$C$112,$E$13:$E$112,"Sim"),0)),0)</f>
        <v/>
      </c>
      <c r="H65" s="89" t="inlineStr">
        <is>
          <t>PENDENTE</t>
        </is>
      </c>
      <c r="I65" s="91">
        <f>IF(OR(A65="",B65="",C65="",H65="PENDENTE"),"PENDENTE","OK")</f>
        <v/>
      </c>
    </row>
    <row r="66" ht="30" customHeight="1">
      <c r="A66" s="89" t="inlineStr">
        <is>
          <t>U054</t>
        </is>
      </c>
      <c r="B66" s="89" t="inlineStr">
        <is>
          <t>Residencial Novo</t>
        </is>
      </c>
      <c r="C66" s="90" t="n">
        <v>2806818.18181818</v>
      </c>
      <c r="D66" s="89" t="inlineStr">
        <is>
          <t>Não</t>
        </is>
      </c>
      <c r="E66" s="91">
        <f>IF(D66="Sim","Não","Sim")</f>
        <v/>
      </c>
      <c r="F66" s="44">
        <f>IF(E66="Sim",IF(B66="Residencial Novo",'Premissas &amp; Cenários'!$B$38,IF(B66="Lote Residencial",'Premissas &amp; Cenários'!$B$39,0)),0)</f>
        <v/>
      </c>
      <c r="G66" s="44">
        <f>IF(E66="Sim",MIN(C66,IFERROR('Premissas &amp; Cenários'!$G$57*C66/SUMIFS($C$13:$C$112,$E$13:$E$112,"Sim"),0)),0)</f>
        <v/>
      </c>
      <c r="H66" s="89" t="inlineStr">
        <is>
          <t>PENDENTE</t>
        </is>
      </c>
      <c r="I66" s="91">
        <f>IF(OR(A66="",B66="",C66="",H66="PENDENTE"),"PENDENTE","OK")</f>
        <v/>
      </c>
    </row>
    <row r="67" ht="30" customHeight="1">
      <c r="A67" s="89" t="inlineStr">
        <is>
          <t>U055</t>
        </is>
      </c>
      <c r="B67" s="89" t="inlineStr">
        <is>
          <t>Residencial Novo</t>
        </is>
      </c>
      <c r="C67" s="90" t="n">
        <v>2806818.18181818</v>
      </c>
      <c r="D67" s="89" t="inlineStr">
        <is>
          <t>Não</t>
        </is>
      </c>
      <c r="E67" s="91">
        <f>IF(D67="Sim","Não","Sim")</f>
        <v/>
      </c>
      <c r="F67" s="44">
        <f>IF(E67="Sim",IF(B67="Residencial Novo",'Premissas &amp; Cenários'!$B$38,IF(B67="Lote Residencial",'Premissas &amp; Cenários'!$B$39,0)),0)</f>
        <v/>
      </c>
      <c r="G67" s="44">
        <f>IF(E67="Sim",MIN(C67,IFERROR('Premissas &amp; Cenários'!$G$57*C67/SUMIFS($C$13:$C$112,$E$13:$E$112,"Sim"),0)),0)</f>
        <v/>
      </c>
      <c r="H67" s="89" t="inlineStr">
        <is>
          <t>PENDENTE</t>
        </is>
      </c>
      <c r="I67" s="91">
        <f>IF(OR(A67="",B67="",C67="",H67="PENDENTE"),"PENDENTE","OK")</f>
        <v/>
      </c>
    </row>
    <row r="68" ht="30" customHeight="1">
      <c r="A68" s="89" t="inlineStr">
        <is>
          <t>U056</t>
        </is>
      </c>
      <c r="B68" s="89" t="inlineStr">
        <is>
          <t>Residencial Novo</t>
        </is>
      </c>
      <c r="C68" s="90" t="n">
        <v>2806818.18181818</v>
      </c>
      <c r="D68" s="89" t="inlineStr">
        <is>
          <t>Não</t>
        </is>
      </c>
      <c r="E68" s="91">
        <f>IF(D68="Sim","Não","Sim")</f>
        <v/>
      </c>
      <c r="F68" s="44">
        <f>IF(E68="Sim",IF(B68="Residencial Novo",'Premissas &amp; Cenários'!$B$38,IF(B68="Lote Residencial",'Premissas &amp; Cenários'!$B$39,0)),0)</f>
        <v/>
      </c>
      <c r="G68" s="44">
        <f>IF(E68="Sim",MIN(C68,IFERROR('Premissas &amp; Cenários'!$G$57*C68/SUMIFS($C$13:$C$112,$E$13:$E$112,"Sim"),0)),0)</f>
        <v/>
      </c>
      <c r="H68" s="89" t="inlineStr">
        <is>
          <t>PENDENTE</t>
        </is>
      </c>
      <c r="I68" s="91">
        <f>IF(OR(A68="",B68="",C68="",H68="PENDENTE"),"PENDENTE","OK")</f>
        <v/>
      </c>
    </row>
    <row r="69" ht="30" customHeight="1">
      <c r="A69" s="89" t="inlineStr">
        <is>
          <t>U057</t>
        </is>
      </c>
      <c r="B69" s="89" t="inlineStr">
        <is>
          <t>Residencial Novo</t>
        </is>
      </c>
      <c r="C69" s="90" t="n">
        <v>2806818.18181818</v>
      </c>
      <c r="D69" s="89" t="inlineStr">
        <is>
          <t>Não</t>
        </is>
      </c>
      <c r="E69" s="91">
        <f>IF(D69="Sim","Não","Sim")</f>
        <v/>
      </c>
      <c r="F69" s="44">
        <f>IF(E69="Sim",IF(B69="Residencial Novo",'Premissas &amp; Cenários'!$B$38,IF(B69="Lote Residencial",'Premissas &amp; Cenários'!$B$39,0)),0)</f>
        <v/>
      </c>
      <c r="G69" s="44">
        <f>IF(E69="Sim",MIN(C69,IFERROR('Premissas &amp; Cenários'!$G$57*C69/SUMIFS($C$13:$C$112,$E$13:$E$112,"Sim"),0)),0)</f>
        <v/>
      </c>
      <c r="H69" s="89" t="inlineStr">
        <is>
          <t>PENDENTE</t>
        </is>
      </c>
      <c r="I69" s="91">
        <f>IF(OR(A69="",B69="",C69="",H69="PENDENTE"),"PENDENTE","OK")</f>
        <v/>
      </c>
    </row>
    <row r="70" ht="30" customHeight="1">
      <c r="A70" s="89" t="inlineStr">
        <is>
          <t>U058</t>
        </is>
      </c>
      <c r="B70" s="89" t="inlineStr">
        <is>
          <t>Residencial Novo</t>
        </is>
      </c>
      <c r="C70" s="90" t="n">
        <v>2806818.18181818</v>
      </c>
      <c r="D70" s="89" t="inlineStr">
        <is>
          <t>Não</t>
        </is>
      </c>
      <c r="E70" s="91">
        <f>IF(D70="Sim","Não","Sim")</f>
        <v/>
      </c>
      <c r="F70" s="44">
        <f>IF(E70="Sim",IF(B70="Residencial Novo",'Premissas &amp; Cenários'!$B$38,IF(B70="Lote Residencial",'Premissas &amp; Cenários'!$B$39,0)),0)</f>
        <v/>
      </c>
      <c r="G70" s="44">
        <f>IF(E70="Sim",MIN(C70,IFERROR('Premissas &amp; Cenários'!$G$57*C70/SUMIFS($C$13:$C$112,$E$13:$E$112,"Sim"),0)),0)</f>
        <v/>
      </c>
      <c r="H70" s="89" t="inlineStr">
        <is>
          <t>PENDENTE</t>
        </is>
      </c>
      <c r="I70" s="91">
        <f>IF(OR(A70="",B70="",C70="",H70="PENDENTE"),"PENDENTE","OK")</f>
        <v/>
      </c>
    </row>
    <row r="71" ht="30" customHeight="1">
      <c r="A71" s="89" t="inlineStr">
        <is>
          <t>U059</t>
        </is>
      </c>
      <c r="B71" s="89" t="inlineStr">
        <is>
          <t>Residencial Novo</t>
        </is>
      </c>
      <c r="C71" s="90" t="n">
        <v>2806818.18181818</v>
      </c>
      <c r="D71" s="89" t="inlineStr">
        <is>
          <t>Não</t>
        </is>
      </c>
      <c r="E71" s="91">
        <f>IF(D71="Sim","Não","Sim")</f>
        <v/>
      </c>
      <c r="F71" s="44">
        <f>IF(E71="Sim",IF(B71="Residencial Novo",'Premissas &amp; Cenários'!$B$38,IF(B71="Lote Residencial",'Premissas &amp; Cenários'!$B$39,0)),0)</f>
        <v/>
      </c>
      <c r="G71" s="44">
        <f>IF(E71="Sim",MIN(C71,IFERROR('Premissas &amp; Cenários'!$G$57*C71/SUMIFS($C$13:$C$112,$E$13:$E$112,"Sim"),0)),0)</f>
        <v/>
      </c>
      <c r="H71" s="89" t="inlineStr">
        <is>
          <t>PENDENTE</t>
        </is>
      </c>
      <c r="I71" s="91">
        <f>IF(OR(A71="",B71="",C71="",H71="PENDENTE"),"PENDENTE","OK")</f>
        <v/>
      </c>
    </row>
    <row r="72" ht="30" customHeight="1">
      <c r="A72" s="89" t="inlineStr">
        <is>
          <t>U060</t>
        </is>
      </c>
      <c r="B72" s="89" t="inlineStr">
        <is>
          <t>Residencial Novo</t>
        </is>
      </c>
      <c r="C72" s="90" t="n">
        <v>2806818.18181818</v>
      </c>
      <c r="D72" s="89" t="inlineStr">
        <is>
          <t>Não</t>
        </is>
      </c>
      <c r="E72" s="91">
        <f>IF(D72="Sim","Não","Sim")</f>
        <v/>
      </c>
      <c r="F72" s="44">
        <f>IF(E72="Sim",IF(B72="Residencial Novo",'Premissas &amp; Cenários'!$B$38,IF(B72="Lote Residencial",'Premissas &amp; Cenários'!$B$39,0)),0)</f>
        <v/>
      </c>
      <c r="G72" s="44">
        <f>IF(E72="Sim",MIN(C72,IFERROR('Premissas &amp; Cenários'!$G$57*C72/SUMIFS($C$13:$C$112,$E$13:$E$112,"Sim"),0)),0)</f>
        <v/>
      </c>
      <c r="H72" s="89" t="inlineStr">
        <is>
          <t>PENDENTE</t>
        </is>
      </c>
      <c r="I72" s="91">
        <f>IF(OR(A72="",B72="",C72="",H72="PENDENTE"),"PENDENTE","OK")</f>
        <v/>
      </c>
    </row>
    <row r="73" ht="30" customHeight="1">
      <c r="A73" s="89" t="inlineStr">
        <is>
          <t>U061</t>
        </is>
      </c>
      <c r="B73" s="89" t="inlineStr">
        <is>
          <t>Residencial Novo</t>
        </is>
      </c>
      <c r="C73" s="90" t="n">
        <v>2806818.18181818</v>
      </c>
      <c r="D73" s="89" t="inlineStr">
        <is>
          <t>Não</t>
        </is>
      </c>
      <c r="E73" s="91">
        <f>IF(D73="Sim","Não","Sim")</f>
        <v/>
      </c>
      <c r="F73" s="44">
        <f>IF(E73="Sim",IF(B73="Residencial Novo",'Premissas &amp; Cenários'!$B$38,IF(B73="Lote Residencial",'Premissas &amp; Cenários'!$B$39,0)),0)</f>
        <v/>
      </c>
      <c r="G73" s="44">
        <f>IF(E73="Sim",MIN(C73,IFERROR('Premissas &amp; Cenários'!$G$57*C73/SUMIFS($C$13:$C$112,$E$13:$E$112,"Sim"),0)),0)</f>
        <v/>
      </c>
      <c r="H73" s="89" t="inlineStr">
        <is>
          <t>PENDENTE</t>
        </is>
      </c>
      <c r="I73" s="91">
        <f>IF(OR(A73="",B73="",C73="",H73="PENDENTE"),"PENDENTE","OK")</f>
        <v/>
      </c>
    </row>
    <row r="74" ht="30" customHeight="1">
      <c r="A74" s="89" t="inlineStr">
        <is>
          <t>U062</t>
        </is>
      </c>
      <c r="B74" s="89" t="inlineStr">
        <is>
          <t>Residencial Novo</t>
        </is>
      </c>
      <c r="C74" s="90" t="n">
        <v>2806818.18181818</v>
      </c>
      <c r="D74" s="89" t="inlineStr">
        <is>
          <t>Não</t>
        </is>
      </c>
      <c r="E74" s="91">
        <f>IF(D74="Sim","Não","Sim")</f>
        <v/>
      </c>
      <c r="F74" s="44">
        <f>IF(E74="Sim",IF(B74="Residencial Novo",'Premissas &amp; Cenários'!$B$38,IF(B74="Lote Residencial",'Premissas &amp; Cenários'!$B$39,0)),0)</f>
        <v/>
      </c>
      <c r="G74" s="44">
        <f>IF(E74="Sim",MIN(C74,IFERROR('Premissas &amp; Cenários'!$G$57*C74/SUMIFS($C$13:$C$112,$E$13:$E$112,"Sim"),0)),0)</f>
        <v/>
      </c>
      <c r="H74" s="89" t="inlineStr">
        <is>
          <t>PENDENTE</t>
        </is>
      </c>
      <c r="I74" s="91">
        <f>IF(OR(A74="",B74="",C74="",H74="PENDENTE"),"PENDENTE","OK")</f>
        <v/>
      </c>
    </row>
    <row r="75" ht="30" customHeight="1">
      <c r="A75" s="89" t="inlineStr">
        <is>
          <t>U063</t>
        </is>
      </c>
      <c r="B75" s="89" t="inlineStr">
        <is>
          <t>Residencial Novo</t>
        </is>
      </c>
      <c r="C75" s="90" t="n">
        <v>2806818.18181818</v>
      </c>
      <c r="D75" s="89" t="inlineStr">
        <is>
          <t>Não</t>
        </is>
      </c>
      <c r="E75" s="91">
        <f>IF(D75="Sim","Não","Sim")</f>
        <v/>
      </c>
      <c r="F75" s="44">
        <f>IF(E75="Sim",IF(B75="Residencial Novo",'Premissas &amp; Cenários'!$B$38,IF(B75="Lote Residencial",'Premissas &amp; Cenários'!$B$39,0)),0)</f>
        <v/>
      </c>
      <c r="G75" s="44">
        <f>IF(E75="Sim",MIN(C75,IFERROR('Premissas &amp; Cenários'!$G$57*C75/SUMIFS($C$13:$C$112,$E$13:$E$112,"Sim"),0)),0)</f>
        <v/>
      </c>
      <c r="H75" s="89" t="inlineStr">
        <is>
          <t>PENDENTE</t>
        </is>
      </c>
      <c r="I75" s="91">
        <f>IF(OR(A75="",B75="",C75="",H75="PENDENTE"),"PENDENTE","OK")</f>
        <v/>
      </c>
    </row>
    <row r="76" ht="30" customHeight="1">
      <c r="A76" s="89" t="inlineStr">
        <is>
          <t>U064</t>
        </is>
      </c>
      <c r="B76" s="89" t="inlineStr">
        <is>
          <t>Residencial Novo</t>
        </is>
      </c>
      <c r="C76" s="90" t="n">
        <v>2806818.18181818</v>
      </c>
      <c r="D76" s="89" t="inlineStr">
        <is>
          <t>Não</t>
        </is>
      </c>
      <c r="E76" s="91">
        <f>IF(D76="Sim","Não","Sim")</f>
        <v/>
      </c>
      <c r="F76" s="44">
        <f>IF(E76="Sim",IF(B76="Residencial Novo",'Premissas &amp; Cenários'!$B$38,IF(B76="Lote Residencial",'Premissas &amp; Cenários'!$B$39,0)),0)</f>
        <v/>
      </c>
      <c r="G76" s="44">
        <f>IF(E76="Sim",MIN(C76,IFERROR('Premissas &amp; Cenários'!$G$57*C76/SUMIFS($C$13:$C$112,$E$13:$E$112,"Sim"),0)),0)</f>
        <v/>
      </c>
      <c r="H76" s="89" t="inlineStr">
        <is>
          <t>PENDENTE</t>
        </is>
      </c>
      <c r="I76" s="91">
        <f>IF(OR(A76="",B76="",C76="",H76="PENDENTE"),"PENDENTE","OK")</f>
        <v/>
      </c>
    </row>
    <row r="77" ht="30" customHeight="1">
      <c r="A77" s="89" t="inlineStr">
        <is>
          <t>U065</t>
        </is>
      </c>
      <c r="B77" s="89" t="inlineStr">
        <is>
          <t>Residencial Novo</t>
        </is>
      </c>
      <c r="C77" s="90" t="n">
        <v>2806818.18181818</v>
      </c>
      <c r="D77" s="89" t="inlineStr">
        <is>
          <t>Não</t>
        </is>
      </c>
      <c r="E77" s="91">
        <f>IF(D77="Sim","Não","Sim")</f>
        <v/>
      </c>
      <c r="F77" s="44">
        <f>IF(E77="Sim",IF(B77="Residencial Novo",'Premissas &amp; Cenários'!$B$38,IF(B77="Lote Residencial",'Premissas &amp; Cenários'!$B$39,0)),0)</f>
        <v/>
      </c>
      <c r="G77" s="44">
        <f>IF(E77="Sim",MIN(C77,IFERROR('Premissas &amp; Cenários'!$G$57*C77/SUMIFS($C$13:$C$112,$E$13:$E$112,"Sim"),0)),0)</f>
        <v/>
      </c>
      <c r="H77" s="89" t="inlineStr">
        <is>
          <t>PENDENTE</t>
        </is>
      </c>
      <c r="I77" s="91">
        <f>IF(OR(A77="",B77="",C77="",H77="PENDENTE"),"PENDENTE","OK")</f>
        <v/>
      </c>
    </row>
    <row r="78" ht="30" customHeight="1">
      <c r="A78" s="89" t="inlineStr">
        <is>
          <t>U066</t>
        </is>
      </c>
      <c r="B78" s="89" t="inlineStr">
        <is>
          <t>Residencial Novo</t>
        </is>
      </c>
      <c r="C78" s="90" t="n">
        <v>2806818.18181818</v>
      </c>
      <c r="D78" s="89" t="inlineStr">
        <is>
          <t>Não</t>
        </is>
      </c>
      <c r="E78" s="91">
        <f>IF(D78="Sim","Não","Sim")</f>
        <v/>
      </c>
      <c r="F78" s="44">
        <f>IF(E78="Sim",IF(B78="Residencial Novo",'Premissas &amp; Cenários'!$B$38,IF(B78="Lote Residencial",'Premissas &amp; Cenários'!$B$39,0)),0)</f>
        <v/>
      </c>
      <c r="G78" s="44">
        <f>IF(E78="Sim",MIN(C78,IFERROR('Premissas &amp; Cenários'!$G$57*C78/SUMIFS($C$13:$C$112,$E$13:$E$112,"Sim"),0)),0)</f>
        <v/>
      </c>
      <c r="H78" s="89" t="inlineStr">
        <is>
          <t>PENDENTE</t>
        </is>
      </c>
      <c r="I78" s="91">
        <f>IF(OR(A78="",B78="",C78="",H78="PENDENTE"),"PENDENTE","OK")</f>
        <v/>
      </c>
    </row>
    <row r="79" ht="30" customHeight="1">
      <c r="A79" s="89" t="inlineStr">
        <is>
          <t>U067</t>
        </is>
      </c>
      <c r="B79" s="89" t="inlineStr">
        <is>
          <t>Residencial Novo</t>
        </is>
      </c>
      <c r="C79" s="90" t="n">
        <v>2806818.18181818</v>
      </c>
      <c r="D79" s="89" t="inlineStr">
        <is>
          <t>Não</t>
        </is>
      </c>
      <c r="E79" s="91">
        <f>IF(D79="Sim","Não","Sim")</f>
        <v/>
      </c>
      <c r="F79" s="44">
        <f>IF(E79="Sim",IF(B79="Residencial Novo",'Premissas &amp; Cenários'!$B$38,IF(B79="Lote Residencial",'Premissas &amp; Cenários'!$B$39,0)),0)</f>
        <v/>
      </c>
      <c r="G79" s="44">
        <f>IF(E79="Sim",MIN(C79,IFERROR('Premissas &amp; Cenários'!$G$57*C79/SUMIFS($C$13:$C$112,$E$13:$E$112,"Sim"),0)),0)</f>
        <v/>
      </c>
      <c r="H79" s="89" t="inlineStr">
        <is>
          <t>PENDENTE</t>
        </is>
      </c>
      <c r="I79" s="91">
        <f>IF(OR(A79="",B79="",C79="",H79="PENDENTE"),"PENDENTE","OK")</f>
        <v/>
      </c>
    </row>
    <row r="80" ht="30" customHeight="1">
      <c r="A80" s="89" t="inlineStr">
        <is>
          <t>U068</t>
        </is>
      </c>
      <c r="B80" s="89" t="inlineStr">
        <is>
          <t>Residencial Novo</t>
        </is>
      </c>
      <c r="C80" s="90" t="n">
        <v>2806818.18181818</v>
      </c>
      <c r="D80" s="89" t="inlineStr">
        <is>
          <t>Não</t>
        </is>
      </c>
      <c r="E80" s="91">
        <f>IF(D80="Sim","Não","Sim")</f>
        <v/>
      </c>
      <c r="F80" s="44">
        <f>IF(E80="Sim",IF(B80="Residencial Novo",'Premissas &amp; Cenários'!$B$38,IF(B80="Lote Residencial",'Premissas &amp; Cenários'!$B$39,0)),0)</f>
        <v/>
      </c>
      <c r="G80" s="44">
        <f>IF(E80="Sim",MIN(C80,IFERROR('Premissas &amp; Cenários'!$G$57*C80/SUMIFS($C$13:$C$112,$E$13:$E$112,"Sim"),0)),0)</f>
        <v/>
      </c>
      <c r="H80" s="89" t="inlineStr">
        <is>
          <t>PENDENTE</t>
        </is>
      </c>
      <c r="I80" s="91">
        <f>IF(OR(A80="",B80="",C80="",H80="PENDENTE"),"PENDENTE","OK")</f>
        <v/>
      </c>
    </row>
    <row r="81" ht="30" customHeight="1">
      <c r="A81" s="89" t="inlineStr">
        <is>
          <t>U069</t>
        </is>
      </c>
      <c r="B81" s="89" t="inlineStr">
        <is>
          <t>Residencial Novo</t>
        </is>
      </c>
      <c r="C81" s="90" t="n">
        <v>2806818.18181818</v>
      </c>
      <c r="D81" s="89" t="inlineStr">
        <is>
          <t>Não</t>
        </is>
      </c>
      <c r="E81" s="91">
        <f>IF(D81="Sim","Não","Sim")</f>
        <v/>
      </c>
      <c r="F81" s="44">
        <f>IF(E81="Sim",IF(B81="Residencial Novo",'Premissas &amp; Cenários'!$B$38,IF(B81="Lote Residencial",'Premissas &amp; Cenários'!$B$39,0)),0)</f>
        <v/>
      </c>
      <c r="G81" s="44">
        <f>IF(E81="Sim",MIN(C81,IFERROR('Premissas &amp; Cenários'!$G$57*C81/SUMIFS($C$13:$C$112,$E$13:$E$112,"Sim"),0)),0)</f>
        <v/>
      </c>
      <c r="H81" s="89" t="inlineStr">
        <is>
          <t>PENDENTE</t>
        </is>
      </c>
      <c r="I81" s="91">
        <f>IF(OR(A81="",B81="",C81="",H81="PENDENTE"),"PENDENTE","OK")</f>
        <v/>
      </c>
    </row>
    <row r="82" ht="30" customHeight="1">
      <c r="A82" s="89" t="inlineStr">
        <is>
          <t>U070</t>
        </is>
      </c>
      <c r="B82" s="89" t="inlineStr">
        <is>
          <t>Residencial Novo</t>
        </is>
      </c>
      <c r="C82" s="90" t="n">
        <v>2806818.18181818</v>
      </c>
      <c r="D82" s="89" t="inlineStr">
        <is>
          <t>Não</t>
        </is>
      </c>
      <c r="E82" s="91">
        <f>IF(D82="Sim","Não","Sim")</f>
        <v/>
      </c>
      <c r="F82" s="44">
        <f>IF(E82="Sim",IF(B82="Residencial Novo",'Premissas &amp; Cenários'!$B$38,IF(B82="Lote Residencial",'Premissas &amp; Cenários'!$B$39,0)),0)</f>
        <v/>
      </c>
      <c r="G82" s="44">
        <f>IF(E82="Sim",MIN(C82,IFERROR('Premissas &amp; Cenários'!$G$57*C82/SUMIFS($C$13:$C$112,$E$13:$E$112,"Sim"),0)),0)</f>
        <v/>
      </c>
      <c r="H82" s="89" t="inlineStr">
        <is>
          <t>PENDENTE</t>
        </is>
      </c>
      <c r="I82" s="91">
        <f>IF(OR(A82="",B82="",C82="",H82="PENDENTE"),"PENDENTE","OK")</f>
        <v/>
      </c>
    </row>
    <row r="83" ht="30" customHeight="1">
      <c r="A83" s="89" t="inlineStr">
        <is>
          <t>U071</t>
        </is>
      </c>
      <c r="B83" s="89" t="inlineStr">
        <is>
          <t>Residencial Novo</t>
        </is>
      </c>
      <c r="C83" s="90" t="n">
        <v>2806818.18181818</v>
      </c>
      <c r="D83" s="89" t="inlineStr">
        <is>
          <t>Não</t>
        </is>
      </c>
      <c r="E83" s="91">
        <f>IF(D83="Sim","Não","Sim")</f>
        <v/>
      </c>
      <c r="F83" s="44">
        <f>IF(E83="Sim",IF(B83="Residencial Novo",'Premissas &amp; Cenários'!$B$38,IF(B83="Lote Residencial",'Premissas &amp; Cenários'!$B$39,0)),0)</f>
        <v/>
      </c>
      <c r="G83" s="44">
        <f>IF(E83="Sim",MIN(C83,IFERROR('Premissas &amp; Cenários'!$G$57*C83/SUMIFS($C$13:$C$112,$E$13:$E$112,"Sim"),0)),0)</f>
        <v/>
      </c>
      <c r="H83" s="89" t="inlineStr">
        <is>
          <t>PENDENTE</t>
        </is>
      </c>
      <c r="I83" s="91">
        <f>IF(OR(A83="",B83="",C83="",H83="PENDENTE"),"PENDENTE","OK")</f>
        <v/>
      </c>
    </row>
    <row r="84" ht="30" customHeight="1">
      <c r="A84" s="89" t="inlineStr">
        <is>
          <t>U072</t>
        </is>
      </c>
      <c r="B84" s="89" t="inlineStr">
        <is>
          <t>Residencial Novo</t>
        </is>
      </c>
      <c r="C84" s="90" t="n">
        <v>2806818.18181818</v>
      </c>
      <c r="D84" s="89" t="inlineStr">
        <is>
          <t>Não</t>
        </is>
      </c>
      <c r="E84" s="91">
        <f>IF(D84="Sim","Não","Sim")</f>
        <v/>
      </c>
      <c r="F84" s="44">
        <f>IF(E84="Sim",IF(B84="Residencial Novo",'Premissas &amp; Cenários'!$B$38,IF(B84="Lote Residencial",'Premissas &amp; Cenários'!$B$39,0)),0)</f>
        <v/>
      </c>
      <c r="G84" s="44">
        <f>IF(E84="Sim",MIN(C84,IFERROR('Premissas &amp; Cenários'!$G$57*C84/SUMIFS($C$13:$C$112,$E$13:$E$112,"Sim"),0)),0)</f>
        <v/>
      </c>
      <c r="H84" s="89" t="inlineStr">
        <is>
          <t>PENDENTE</t>
        </is>
      </c>
      <c r="I84" s="91">
        <f>IF(OR(A84="",B84="",C84="",H84="PENDENTE"),"PENDENTE","OK")</f>
        <v/>
      </c>
    </row>
    <row r="85" ht="30" customHeight="1">
      <c r="A85" s="89" t="inlineStr">
        <is>
          <t>U073</t>
        </is>
      </c>
      <c r="B85" s="89" t="inlineStr">
        <is>
          <t>Residencial Novo</t>
        </is>
      </c>
      <c r="C85" s="90" t="n">
        <v>2806818.18181818</v>
      </c>
      <c r="D85" s="89" t="inlineStr">
        <is>
          <t>Não</t>
        </is>
      </c>
      <c r="E85" s="91">
        <f>IF(D85="Sim","Não","Sim")</f>
        <v/>
      </c>
      <c r="F85" s="44">
        <f>IF(E85="Sim",IF(B85="Residencial Novo",'Premissas &amp; Cenários'!$B$38,IF(B85="Lote Residencial",'Premissas &amp; Cenários'!$B$39,0)),0)</f>
        <v/>
      </c>
      <c r="G85" s="44">
        <f>IF(E85="Sim",MIN(C85,IFERROR('Premissas &amp; Cenários'!$G$57*C85/SUMIFS($C$13:$C$112,$E$13:$E$112,"Sim"),0)),0)</f>
        <v/>
      </c>
      <c r="H85" s="89" t="inlineStr">
        <is>
          <t>PENDENTE</t>
        </is>
      </c>
      <c r="I85" s="91">
        <f>IF(OR(A85="",B85="",C85="",H85="PENDENTE"),"PENDENTE","OK")</f>
        <v/>
      </c>
    </row>
    <row r="86" ht="30" customHeight="1">
      <c r="A86" s="89" t="inlineStr">
        <is>
          <t>U074</t>
        </is>
      </c>
      <c r="B86" s="89" t="inlineStr">
        <is>
          <t>Residencial Novo</t>
        </is>
      </c>
      <c r="C86" s="90" t="n">
        <v>2806818.18181818</v>
      </c>
      <c r="D86" s="89" t="inlineStr">
        <is>
          <t>Não</t>
        </is>
      </c>
      <c r="E86" s="91">
        <f>IF(D86="Sim","Não","Sim")</f>
        <v/>
      </c>
      <c r="F86" s="44">
        <f>IF(E86="Sim",IF(B86="Residencial Novo",'Premissas &amp; Cenários'!$B$38,IF(B86="Lote Residencial",'Premissas &amp; Cenários'!$B$39,0)),0)</f>
        <v/>
      </c>
      <c r="G86" s="44">
        <f>IF(E86="Sim",MIN(C86,IFERROR('Premissas &amp; Cenários'!$G$57*C86/SUMIFS($C$13:$C$112,$E$13:$E$112,"Sim"),0)),0)</f>
        <v/>
      </c>
      <c r="H86" s="89" t="inlineStr">
        <is>
          <t>PENDENTE</t>
        </is>
      </c>
      <c r="I86" s="91">
        <f>IF(OR(A86="",B86="",C86="",H86="PENDENTE"),"PENDENTE","OK")</f>
        <v/>
      </c>
    </row>
    <row r="87" ht="30" customHeight="1">
      <c r="A87" s="89" t="inlineStr">
        <is>
          <t>U075</t>
        </is>
      </c>
      <c r="B87" s="89" t="inlineStr">
        <is>
          <t>Residencial Novo</t>
        </is>
      </c>
      <c r="C87" s="90" t="n">
        <v>2806818.18181818</v>
      </c>
      <c r="D87" s="89" t="inlineStr">
        <is>
          <t>Não</t>
        </is>
      </c>
      <c r="E87" s="91">
        <f>IF(D87="Sim","Não","Sim")</f>
        <v/>
      </c>
      <c r="F87" s="44">
        <f>IF(E87="Sim",IF(B87="Residencial Novo",'Premissas &amp; Cenários'!$B$38,IF(B87="Lote Residencial",'Premissas &amp; Cenários'!$B$39,0)),0)</f>
        <v/>
      </c>
      <c r="G87" s="44">
        <f>IF(E87="Sim",MIN(C87,IFERROR('Premissas &amp; Cenários'!$G$57*C87/SUMIFS($C$13:$C$112,$E$13:$E$112,"Sim"),0)),0)</f>
        <v/>
      </c>
      <c r="H87" s="89" t="inlineStr">
        <is>
          <t>PENDENTE</t>
        </is>
      </c>
      <c r="I87" s="91">
        <f>IF(OR(A87="",B87="",C87="",H87="PENDENTE"),"PENDENTE","OK")</f>
        <v/>
      </c>
    </row>
    <row r="88" ht="30" customHeight="1">
      <c r="A88" s="89" t="inlineStr">
        <is>
          <t>U076</t>
        </is>
      </c>
      <c r="B88" s="89" t="inlineStr">
        <is>
          <t>Residencial Novo</t>
        </is>
      </c>
      <c r="C88" s="90" t="n">
        <v>2806818.18181818</v>
      </c>
      <c r="D88" s="89" t="inlineStr">
        <is>
          <t>Não</t>
        </is>
      </c>
      <c r="E88" s="91">
        <f>IF(D88="Sim","Não","Sim")</f>
        <v/>
      </c>
      <c r="F88" s="44">
        <f>IF(E88="Sim",IF(B88="Residencial Novo",'Premissas &amp; Cenários'!$B$38,IF(B88="Lote Residencial",'Premissas &amp; Cenários'!$B$39,0)),0)</f>
        <v/>
      </c>
      <c r="G88" s="44">
        <f>IF(E88="Sim",MIN(C88,IFERROR('Premissas &amp; Cenários'!$G$57*C88/SUMIFS($C$13:$C$112,$E$13:$E$112,"Sim"),0)),0)</f>
        <v/>
      </c>
      <c r="H88" s="89" t="inlineStr">
        <is>
          <t>PENDENTE</t>
        </is>
      </c>
      <c r="I88" s="91">
        <f>IF(OR(A88="",B88="",C88="",H88="PENDENTE"),"PENDENTE","OK")</f>
        <v/>
      </c>
    </row>
    <row r="89" ht="30" customHeight="1">
      <c r="A89" s="89" t="inlineStr">
        <is>
          <t>U077</t>
        </is>
      </c>
      <c r="B89" s="89" t="inlineStr">
        <is>
          <t>Residencial Novo</t>
        </is>
      </c>
      <c r="C89" s="90" t="n">
        <v>2806818.18181818</v>
      </c>
      <c r="D89" s="89" t="inlineStr">
        <is>
          <t>Não</t>
        </is>
      </c>
      <c r="E89" s="91">
        <f>IF(D89="Sim","Não","Sim")</f>
        <v/>
      </c>
      <c r="F89" s="44">
        <f>IF(E89="Sim",IF(B89="Residencial Novo",'Premissas &amp; Cenários'!$B$38,IF(B89="Lote Residencial",'Premissas &amp; Cenários'!$B$39,0)),0)</f>
        <v/>
      </c>
      <c r="G89" s="44">
        <f>IF(E89="Sim",MIN(C89,IFERROR('Premissas &amp; Cenários'!$G$57*C89/SUMIFS($C$13:$C$112,$E$13:$E$112,"Sim"),0)),0)</f>
        <v/>
      </c>
      <c r="H89" s="89" t="inlineStr">
        <is>
          <t>PENDENTE</t>
        </is>
      </c>
      <c r="I89" s="91">
        <f>IF(OR(A89="",B89="",C89="",H89="PENDENTE"),"PENDENTE","OK")</f>
        <v/>
      </c>
    </row>
    <row r="90" ht="30" customHeight="1">
      <c r="A90" s="89" t="inlineStr">
        <is>
          <t>U078</t>
        </is>
      </c>
      <c r="B90" s="89" t="inlineStr">
        <is>
          <t>Residencial Novo</t>
        </is>
      </c>
      <c r="C90" s="90" t="n">
        <v>2806818.18181818</v>
      </c>
      <c r="D90" s="89" t="inlineStr">
        <is>
          <t>Não</t>
        </is>
      </c>
      <c r="E90" s="91">
        <f>IF(D90="Sim","Não","Sim")</f>
        <v/>
      </c>
      <c r="F90" s="44">
        <f>IF(E90="Sim",IF(B90="Residencial Novo",'Premissas &amp; Cenários'!$B$38,IF(B90="Lote Residencial",'Premissas &amp; Cenários'!$B$39,0)),0)</f>
        <v/>
      </c>
      <c r="G90" s="44">
        <f>IF(E90="Sim",MIN(C90,IFERROR('Premissas &amp; Cenários'!$G$57*C90/SUMIFS($C$13:$C$112,$E$13:$E$112,"Sim"),0)),0)</f>
        <v/>
      </c>
      <c r="H90" s="89" t="inlineStr">
        <is>
          <t>PENDENTE</t>
        </is>
      </c>
      <c r="I90" s="91">
        <f>IF(OR(A90="",B90="",C90="",H90="PENDENTE"),"PENDENTE","OK")</f>
        <v/>
      </c>
    </row>
    <row r="91" ht="30" customHeight="1">
      <c r="A91" s="89" t="inlineStr">
        <is>
          <t>U079</t>
        </is>
      </c>
      <c r="B91" s="89" t="inlineStr">
        <is>
          <t>Residencial Novo</t>
        </is>
      </c>
      <c r="C91" s="90" t="n">
        <v>2806818.18181818</v>
      </c>
      <c r="D91" s="89" t="inlineStr">
        <is>
          <t>Não</t>
        </is>
      </c>
      <c r="E91" s="91">
        <f>IF(D91="Sim","Não","Sim")</f>
        <v/>
      </c>
      <c r="F91" s="44">
        <f>IF(E91="Sim",IF(B91="Residencial Novo",'Premissas &amp; Cenários'!$B$38,IF(B91="Lote Residencial",'Premissas &amp; Cenários'!$B$39,0)),0)</f>
        <v/>
      </c>
      <c r="G91" s="44">
        <f>IF(E91="Sim",MIN(C91,IFERROR('Premissas &amp; Cenários'!$G$57*C91/SUMIFS($C$13:$C$112,$E$13:$E$112,"Sim"),0)),0)</f>
        <v/>
      </c>
      <c r="H91" s="89" t="inlineStr">
        <is>
          <t>PENDENTE</t>
        </is>
      </c>
      <c r="I91" s="91">
        <f>IF(OR(A91="",B91="",C91="",H91="PENDENTE"),"PENDENTE","OK")</f>
        <v/>
      </c>
    </row>
    <row r="92" ht="30" customHeight="1">
      <c r="A92" s="89" t="inlineStr">
        <is>
          <t>U080</t>
        </is>
      </c>
      <c r="B92" s="89" t="inlineStr">
        <is>
          <t>Residencial Novo</t>
        </is>
      </c>
      <c r="C92" s="90" t="n">
        <v>2806818.18181818</v>
      </c>
      <c r="D92" s="89" t="inlineStr">
        <is>
          <t>Não</t>
        </is>
      </c>
      <c r="E92" s="91">
        <f>IF(D92="Sim","Não","Sim")</f>
        <v/>
      </c>
      <c r="F92" s="44">
        <f>IF(E92="Sim",IF(B92="Residencial Novo",'Premissas &amp; Cenários'!$B$38,IF(B92="Lote Residencial",'Premissas &amp; Cenários'!$B$39,0)),0)</f>
        <v/>
      </c>
      <c r="G92" s="44">
        <f>IF(E92="Sim",MIN(C92,IFERROR('Premissas &amp; Cenários'!$G$57*C92/SUMIFS($C$13:$C$112,$E$13:$E$112,"Sim"),0)),0)</f>
        <v/>
      </c>
      <c r="H92" s="89" t="inlineStr">
        <is>
          <t>PENDENTE</t>
        </is>
      </c>
      <c r="I92" s="91">
        <f>IF(OR(A92="",B92="",C92="",H92="PENDENTE"),"PENDENTE","OK")</f>
        <v/>
      </c>
    </row>
    <row r="93" ht="30" customHeight="1">
      <c r="A93" s="89" t="inlineStr">
        <is>
          <t>U081</t>
        </is>
      </c>
      <c r="B93" s="89" t="inlineStr">
        <is>
          <t>Residencial Novo</t>
        </is>
      </c>
      <c r="C93" s="90" t="n">
        <v>2806818.18181818</v>
      </c>
      <c r="D93" s="89" t="inlineStr">
        <is>
          <t>Não</t>
        </is>
      </c>
      <c r="E93" s="91">
        <f>IF(D93="Sim","Não","Sim")</f>
        <v/>
      </c>
      <c r="F93" s="44">
        <f>IF(E93="Sim",IF(B93="Residencial Novo",'Premissas &amp; Cenários'!$B$38,IF(B93="Lote Residencial",'Premissas &amp; Cenários'!$B$39,0)),0)</f>
        <v/>
      </c>
      <c r="G93" s="44">
        <f>IF(E93="Sim",MIN(C93,IFERROR('Premissas &amp; Cenários'!$G$57*C93/SUMIFS($C$13:$C$112,$E$13:$E$112,"Sim"),0)),0)</f>
        <v/>
      </c>
      <c r="H93" s="89" t="inlineStr">
        <is>
          <t>PENDENTE</t>
        </is>
      </c>
      <c r="I93" s="91">
        <f>IF(OR(A93="",B93="",C93="",H93="PENDENTE"),"PENDENTE","OK")</f>
        <v/>
      </c>
    </row>
    <row r="94" ht="30" customHeight="1">
      <c r="A94" s="89" t="inlineStr">
        <is>
          <t>U082</t>
        </is>
      </c>
      <c r="B94" s="89" t="inlineStr">
        <is>
          <t>Residencial Novo</t>
        </is>
      </c>
      <c r="C94" s="90" t="n">
        <v>2806818.18181818</v>
      </c>
      <c r="D94" s="89" t="inlineStr">
        <is>
          <t>Não</t>
        </is>
      </c>
      <c r="E94" s="91">
        <f>IF(D94="Sim","Não","Sim")</f>
        <v/>
      </c>
      <c r="F94" s="44">
        <f>IF(E94="Sim",IF(B94="Residencial Novo",'Premissas &amp; Cenários'!$B$38,IF(B94="Lote Residencial",'Premissas &amp; Cenários'!$B$39,0)),0)</f>
        <v/>
      </c>
      <c r="G94" s="44">
        <f>IF(E94="Sim",MIN(C94,IFERROR('Premissas &amp; Cenários'!$G$57*C94/SUMIFS($C$13:$C$112,$E$13:$E$112,"Sim"),0)),0)</f>
        <v/>
      </c>
      <c r="H94" s="89" t="inlineStr">
        <is>
          <t>PENDENTE</t>
        </is>
      </c>
      <c r="I94" s="91">
        <f>IF(OR(A94="",B94="",C94="",H94="PENDENTE"),"PENDENTE","OK")</f>
        <v/>
      </c>
    </row>
    <row r="95" ht="30" customHeight="1">
      <c r="A95" s="89" t="inlineStr">
        <is>
          <t>U083</t>
        </is>
      </c>
      <c r="B95" s="89" t="inlineStr">
        <is>
          <t>Residencial Novo</t>
        </is>
      </c>
      <c r="C95" s="90" t="n">
        <v>2806818.18181818</v>
      </c>
      <c r="D95" s="89" t="inlineStr">
        <is>
          <t>Não</t>
        </is>
      </c>
      <c r="E95" s="91">
        <f>IF(D95="Sim","Não","Sim")</f>
        <v/>
      </c>
      <c r="F95" s="44">
        <f>IF(E95="Sim",IF(B95="Residencial Novo",'Premissas &amp; Cenários'!$B$38,IF(B95="Lote Residencial",'Premissas &amp; Cenários'!$B$39,0)),0)</f>
        <v/>
      </c>
      <c r="G95" s="44">
        <f>IF(E95="Sim",MIN(C95,IFERROR('Premissas &amp; Cenários'!$G$57*C95/SUMIFS($C$13:$C$112,$E$13:$E$112,"Sim"),0)),0)</f>
        <v/>
      </c>
      <c r="H95" s="89" t="inlineStr">
        <is>
          <t>PENDENTE</t>
        </is>
      </c>
      <c r="I95" s="91">
        <f>IF(OR(A95="",B95="",C95="",H95="PENDENTE"),"PENDENTE","OK")</f>
        <v/>
      </c>
    </row>
    <row r="96" ht="30" customHeight="1">
      <c r="A96" s="89" t="inlineStr">
        <is>
          <t>U084</t>
        </is>
      </c>
      <c r="B96" s="89" t="inlineStr">
        <is>
          <t>Residencial Novo</t>
        </is>
      </c>
      <c r="C96" s="90" t="n">
        <v>2806818.18181818</v>
      </c>
      <c r="D96" s="89" t="inlineStr">
        <is>
          <t>Não</t>
        </is>
      </c>
      <c r="E96" s="91">
        <f>IF(D96="Sim","Não","Sim")</f>
        <v/>
      </c>
      <c r="F96" s="44">
        <f>IF(E96="Sim",IF(B96="Residencial Novo",'Premissas &amp; Cenários'!$B$38,IF(B96="Lote Residencial",'Premissas &amp; Cenários'!$B$39,0)),0)</f>
        <v/>
      </c>
      <c r="G96" s="44">
        <f>IF(E96="Sim",MIN(C96,IFERROR('Premissas &amp; Cenários'!$G$57*C96/SUMIFS($C$13:$C$112,$E$13:$E$112,"Sim"),0)),0)</f>
        <v/>
      </c>
      <c r="H96" s="89" t="inlineStr">
        <is>
          <t>PENDENTE</t>
        </is>
      </c>
      <c r="I96" s="91">
        <f>IF(OR(A96="",B96="",C96="",H96="PENDENTE"),"PENDENTE","OK")</f>
        <v/>
      </c>
    </row>
    <row r="97" ht="30" customHeight="1">
      <c r="A97" s="89" t="inlineStr">
        <is>
          <t>U085</t>
        </is>
      </c>
      <c r="B97" s="89" t="inlineStr">
        <is>
          <t>Residencial Novo</t>
        </is>
      </c>
      <c r="C97" s="90" t="n">
        <v>2806818.18181818</v>
      </c>
      <c r="D97" s="89" t="inlineStr">
        <is>
          <t>Não</t>
        </is>
      </c>
      <c r="E97" s="91">
        <f>IF(D97="Sim","Não","Sim")</f>
        <v/>
      </c>
      <c r="F97" s="44">
        <f>IF(E97="Sim",IF(B97="Residencial Novo",'Premissas &amp; Cenários'!$B$38,IF(B97="Lote Residencial",'Premissas &amp; Cenários'!$B$39,0)),0)</f>
        <v/>
      </c>
      <c r="G97" s="44">
        <f>IF(E97="Sim",MIN(C97,IFERROR('Premissas &amp; Cenários'!$G$57*C97/SUMIFS($C$13:$C$112,$E$13:$E$112,"Sim"),0)),0)</f>
        <v/>
      </c>
      <c r="H97" s="89" t="inlineStr">
        <is>
          <t>PENDENTE</t>
        </is>
      </c>
      <c r="I97" s="91">
        <f>IF(OR(A97="",B97="",C97="",H97="PENDENTE"),"PENDENTE","OK")</f>
        <v/>
      </c>
    </row>
    <row r="98" ht="30" customHeight="1">
      <c r="A98" s="89" t="inlineStr">
        <is>
          <t>U086</t>
        </is>
      </c>
      <c r="B98" s="89" t="inlineStr">
        <is>
          <t>Residencial Novo</t>
        </is>
      </c>
      <c r="C98" s="90" t="n">
        <v>2806818.18181818</v>
      </c>
      <c r="D98" s="89" t="inlineStr">
        <is>
          <t>Não</t>
        </is>
      </c>
      <c r="E98" s="91">
        <f>IF(D98="Sim","Não","Sim")</f>
        <v/>
      </c>
      <c r="F98" s="44">
        <f>IF(E98="Sim",IF(B98="Residencial Novo",'Premissas &amp; Cenários'!$B$38,IF(B98="Lote Residencial",'Premissas &amp; Cenários'!$B$39,0)),0)</f>
        <v/>
      </c>
      <c r="G98" s="44">
        <f>IF(E98="Sim",MIN(C98,IFERROR('Premissas &amp; Cenários'!$G$57*C98/SUMIFS($C$13:$C$112,$E$13:$E$112,"Sim"),0)),0)</f>
        <v/>
      </c>
      <c r="H98" s="89" t="inlineStr">
        <is>
          <t>PENDENTE</t>
        </is>
      </c>
      <c r="I98" s="91">
        <f>IF(OR(A98="",B98="",C98="",H98="PENDENTE"),"PENDENTE","OK")</f>
        <v/>
      </c>
    </row>
    <row r="99" ht="30" customHeight="1">
      <c r="A99" s="89" t="inlineStr">
        <is>
          <t>U087</t>
        </is>
      </c>
      <c r="B99" s="89" t="inlineStr">
        <is>
          <t>Residencial Novo</t>
        </is>
      </c>
      <c r="C99" s="90" t="n">
        <v>2806818.18181818</v>
      </c>
      <c r="D99" s="89" t="inlineStr">
        <is>
          <t>Não</t>
        </is>
      </c>
      <c r="E99" s="91">
        <f>IF(D99="Sim","Não","Sim")</f>
        <v/>
      </c>
      <c r="F99" s="44">
        <f>IF(E99="Sim",IF(B99="Residencial Novo",'Premissas &amp; Cenários'!$B$38,IF(B99="Lote Residencial",'Premissas &amp; Cenários'!$B$39,0)),0)</f>
        <v/>
      </c>
      <c r="G99" s="44">
        <f>IF(E99="Sim",MIN(C99,IFERROR('Premissas &amp; Cenários'!$G$57*C99/SUMIFS($C$13:$C$112,$E$13:$E$112,"Sim"),0)),0)</f>
        <v/>
      </c>
      <c r="H99" s="89" t="inlineStr">
        <is>
          <t>PENDENTE</t>
        </is>
      </c>
      <c r="I99" s="91">
        <f>IF(OR(A99="",B99="",C99="",H99="PENDENTE"),"PENDENTE","OK")</f>
        <v/>
      </c>
    </row>
    <row r="100" ht="30" customHeight="1">
      <c r="A100" s="89" t="inlineStr">
        <is>
          <t>U088</t>
        </is>
      </c>
      <c r="B100" s="89" t="inlineStr">
        <is>
          <t>Residencial Novo</t>
        </is>
      </c>
      <c r="C100" s="90" t="n">
        <v>2806818.18181818</v>
      </c>
      <c r="D100" s="89" t="inlineStr">
        <is>
          <t>Não</t>
        </is>
      </c>
      <c r="E100" s="91">
        <f>IF(D100="Sim","Não","Sim")</f>
        <v/>
      </c>
      <c r="F100" s="44">
        <f>IF(E100="Sim",IF(B100="Residencial Novo",'Premissas &amp; Cenários'!$B$38,IF(B100="Lote Residencial",'Premissas &amp; Cenários'!$B$39,0)),0)</f>
        <v/>
      </c>
      <c r="G100" s="44">
        <f>IF(E100="Sim",MIN(C100,IFERROR('Premissas &amp; Cenários'!$G$57*C100/SUMIFS($C$13:$C$112,$E$13:$E$112,"Sim"),0)),0)</f>
        <v/>
      </c>
      <c r="H100" s="89" t="inlineStr">
        <is>
          <t>PENDENTE</t>
        </is>
      </c>
      <c r="I100" s="91">
        <f>IF(OR(A100="",B100="",C100="",H100="PENDENTE"),"PENDENTE","OK")</f>
        <v/>
      </c>
    </row>
    <row r="101" ht="30" customHeight="1">
      <c r="A101" s="89" t="inlineStr">
        <is>
          <t>U089</t>
        </is>
      </c>
      <c r="B101" s="89" t="inlineStr">
        <is>
          <t>Residencial Novo</t>
        </is>
      </c>
      <c r="C101" s="90" t="n">
        <v>2806818.18181818</v>
      </c>
      <c r="D101" s="89" t="inlineStr">
        <is>
          <t>Não</t>
        </is>
      </c>
      <c r="E101" s="91">
        <f>IF(D101="Sim","Não","Sim")</f>
        <v/>
      </c>
      <c r="F101" s="44">
        <f>IF(E101="Sim",IF(B101="Residencial Novo",'Premissas &amp; Cenários'!$B$38,IF(B101="Lote Residencial",'Premissas &amp; Cenários'!$B$39,0)),0)</f>
        <v/>
      </c>
      <c r="G101" s="44">
        <f>IF(E101="Sim",MIN(C101,IFERROR('Premissas &amp; Cenários'!$G$57*C101/SUMIFS($C$13:$C$112,$E$13:$E$112,"Sim"),0)),0)</f>
        <v/>
      </c>
      <c r="H101" s="89" t="inlineStr">
        <is>
          <t>PENDENTE</t>
        </is>
      </c>
      <c r="I101" s="91">
        <f>IF(OR(A101="",B101="",C101="",H101="PENDENTE"),"PENDENTE","OK")</f>
        <v/>
      </c>
    </row>
    <row r="102" ht="30" customHeight="1">
      <c r="A102" s="89" t="inlineStr">
        <is>
          <t>U090</t>
        </is>
      </c>
      <c r="B102" s="89" t="inlineStr">
        <is>
          <t>Residencial Novo</t>
        </is>
      </c>
      <c r="C102" s="90" t="n">
        <v>2806818.18181818</v>
      </c>
      <c r="D102" s="89" t="inlineStr">
        <is>
          <t>Não</t>
        </is>
      </c>
      <c r="E102" s="91">
        <f>IF(D102="Sim","Não","Sim")</f>
        <v/>
      </c>
      <c r="F102" s="44">
        <f>IF(E102="Sim",IF(B102="Residencial Novo",'Premissas &amp; Cenários'!$B$38,IF(B102="Lote Residencial",'Premissas &amp; Cenários'!$B$39,0)),0)</f>
        <v/>
      </c>
      <c r="G102" s="44">
        <f>IF(E102="Sim",MIN(C102,IFERROR('Premissas &amp; Cenários'!$G$57*C102/SUMIFS($C$13:$C$112,$E$13:$E$112,"Sim"),0)),0)</f>
        <v/>
      </c>
      <c r="H102" s="89" t="inlineStr">
        <is>
          <t>PENDENTE</t>
        </is>
      </c>
      <c r="I102" s="91">
        <f>IF(OR(A102="",B102="",C102="",H102="PENDENTE"),"PENDENTE","OK")</f>
        <v/>
      </c>
    </row>
    <row r="103" ht="30" customHeight="1">
      <c r="A103" s="89" t="inlineStr">
        <is>
          <t>U091</t>
        </is>
      </c>
      <c r="B103" s="89" t="inlineStr">
        <is>
          <t>Residencial Novo</t>
        </is>
      </c>
      <c r="C103" s="90" t="n">
        <v>2806818.18181818</v>
      </c>
      <c r="D103" s="89" t="inlineStr">
        <is>
          <t>Não</t>
        </is>
      </c>
      <c r="E103" s="91">
        <f>IF(D103="Sim","Não","Sim")</f>
        <v/>
      </c>
      <c r="F103" s="44">
        <f>IF(E103="Sim",IF(B103="Residencial Novo",'Premissas &amp; Cenários'!$B$38,IF(B103="Lote Residencial",'Premissas &amp; Cenários'!$B$39,0)),0)</f>
        <v/>
      </c>
      <c r="G103" s="44">
        <f>IF(E103="Sim",MIN(C103,IFERROR('Premissas &amp; Cenários'!$G$57*C103/SUMIFS($C$13:$C$112,$E$13:$E$112,"Sim"),0)),0)</f>
        <v/>
      </c>
      <c r="H103" s="89" t="inlineStr">
        <is>
          <t>PENDENTE</t>
        </is>
      </c>
      <c r="I103" s="91">
        <f>IF(OR(A103="",B103="",C103="",H103="PENDENTE"),"PENDENTE","OK")</f>
        <v/>
      </c>
    </row>
    <row r="104" ht="30" customHeight="1">
      <c r="A104" s="89" t="inlineStr">
        <is>
          <t>U092</t>
        </is>
      </c>
      <c r="B104" s="89" t="inlineStr">
        <is>
          <t>Residencial Novo</t>
        </is>
      </c>
      <c r="C104" s="90" t="n">
        <v>2806818.18181818</v>
      </c>
      <c r="D104" s="89" t="inlineStr">
        <is>
          <t>Não</t>
        </is>
      </c>
      <c r="E104" s="91">
        <f>IF(D104="Sim","Não","Sim")</f>
        <v/>
      </c>
      <c r="F104" s="44">
        <f>IF(E104="Sim",IF(B104="Residencial Novo",'Premissas &amp; Cenários'!$B$38,IF(B104="Lote Residencial",'Premissas &amp; Cenários'!$B$39,0)),0)</f>
        <v/>
      </c>
      <c r="G104" s="44">
        <f>IF(E104="Sim",MIN(C104,IFERROR('Premissas &amp; Cenários'!$G$57*C104/SUMIFS($C$13:$C$112,$E$13:$E$112,"Sim"),0)),0)</f>
        <v/>
      </c>
      <c r="H104" s="89" t="inlineStr">
        <is>
          <t>PENDENTE</t>
        </is>
      </c>
      <c r="I104" s="91">
        <f>IF(OR(A104="",B104="",C104="",H104="PENDENTE"),"PENDENTE","OK")</f>
        <v/>
      </c>
    </row>
    <row r="105" ht="30" customHeight="1">
      <c r="A105" s="89" t="inlineStr">
        <is>
          <t>U093</t>
        </is>
      </c>
      <c r="B105" s="89" t="inlineStr">
        <is>
          <t>Residencial Novo</t>
        </is>
      </c>
      <c r="C105" s="90" t="n">
        <v>2806818.18181818</v>
      </c>
      <c r="D105" s="89" t="inlineStr">
        <is>
          <t>Não</t>
        </is>
      </c>
      <c r="E105" s="91">
        <f>IF(D105="Sim","Não","Sim")</f>
        <v/>
      </c>
      <c r="F105" s="44">
        <f>IF(E105="Sim",IF(B105="Residencial Novo",'Premissas &amp; Cenários'!$B$38,IF(B105="Lote Residencial",'Premissas &amp; Cenários'!$B$39,0)),0)</f>
        <v/>
      </c>
      <c r="G105" s="44">
        <f>IF(E105="Sim",MIN(C105,IFERROR('Premissas &amp; Cenários'!$G$57*C105/SUMIFS($C$13:$C$112,$E$13:$E$112,"Sim"),0)),0)</f>
        <v/>
      </c>
      <c r="H105" s="89" t="inlineStr">
        <is>
          <t>PENDENTE</t>
        </is>
      </c>
      <c r="I105" s="91">
        <f>IF(OR(A105="",B105="",C105="",H105="PENDENTE"),"PENDENTE","OK")</f>
        <v/>
      </c>
    </row>
    <row r="106" ht="30" customHeight="1">
      <c r="A106" s="89" t="inlineStr">
        <is>
          <t>U094</t>
        </is>
      </c>
      <c r="B106" s="89" t="inlineStr">
        <is>
          <t>Residencial Novo</t>
        </is>
      </c>
      <c r="C106" s="90" t="n">
        <v>2806818.18181818</v>
      </c>
      <c r="D106" s="89" t="inlineStr">
        <is>
          <t>Não</t>
        </is>
      </c>
      <c r="E106" s="91">
        <f>IF(D106="Sim","Não","Sim")</f>
        <v/>
      </c>
      <c r="F106" s="44">
        <f>IF(E106="Sim",IF(B106="Residencial Novo",'Premissas &amp; Cenários'!$B$38,IF(B106="Lote Residencial",'Premissas &amp; Cenários'!$B$39,0)),0)</f>
        <v/>
      </c>
      <c r="G106" s="44">
        <f>IF(E106="Sim",MIN(C106,IFERROR('Premissas &amp; Cenários'!$G$57*C106/SUMIFS($C$13:$C$112,$E$13:$E$112,"Sim"),0)),0)</f>
        <v/>
      </c>
      <c r="H106" s="89" t="inlineStr">
        <is>
          <t>PENDENTE</t>
        </is>
      </c>
      <c r="I106" s="91">
        <f>IF(OR(A106="",B106="",C106="",H106="PENDENTE"),"PENDENTE","OK")</f>
        <v/>
      </c>
    </row>
    <row r="107" ht="30" customHeight="1">
      <c r="A107" s="89" t="inlineStr">
        <is>
          <t>U095</t>
        </is>
      </c>
      <c r="B107" s="89" t="inlineStr">
        <is>
          <t>Residencial Novo</t>
        </is>
      </c>
      <c r="C107" s="90" t="n">
        <v>2806818.18181818</v>
      </c>
      <c r="D107" s="89" t="inlineStr">
        <is>
          <t>Não</t>
        </is>
      </c>
      <c r="E107" s="91">
        <f>IF(D107="Sim","Não","Sim")</f>
        <v/>
      </c>
      <c r="F107" s="44">
        <f>IF(E107="Sim",IF(B107="Residencial Novo",'Premissas &amp; Cenários'!$B$38,IF(B107="Lote Residencial",'Premissas &amp; Cenários'!$B$39,0)),0)</f>
        <v/>
      </c>
      <c r="G107" s="44">
        <f>IF(E107="Sim",MIN(C107,IFERROR('Premissas &amp; Cenários'!$G$57*C107/SUMIFS($C$13:$C$112,$E$13:$E$112,"Sim"),0)),0)</f>
        <v/>
      </c>
      <c r="H107" s="89" t="inlineStr">
        <is>
          <t>PENDENTE</t>
        </is>
      </c>
      <c r="I107" s="91">
        <f>IF(OR(A107="",B107="",C107="",H107="PENDENTE"),"PENDENTE","OK")</f>
        <v/>
      </c>
    </row>
    <row r="108" ht="30" customHeight="1">
      <c r="A108" s="89" t="inlineStr">
        <is>
          <t>U096</t>
        </is>
      </c>
      <c r="B108" s="89" t="inlineStr">
        <is>
          <t>Residencial Novo</t>
        </is>
      </c>
      <c r="C108" s="90" t="n">
        <v>2806818.18181818</v>
      </c>
      <c r="D108" s="89" t="inlineStr">
        <is>
          <t>Não</t>
        </is>
      </c>
      <c r="E108" s="91">
        <f>IF(D108="Sim","Não","Sim")</f>
        <v/>
      </c>
      <c r="F108" s="44">
        <f>IF(E108="Sim",IF(B108="Residencial Novo",'Premissas &amp; Cenários'!$B$38,IF(B108="Lote Residencial",'Premissas &amp; Cenários'!$B$39,0)),0)</f>
        <v/>
      </c>
      <c r="G108" s="44">
        <f>IF(E108="Sim",MIN(C108,IFERROR('Premissas &amp; Cenários'!$G$57*C108/SUMIFS($C$13:$C$112,$E$13:$E$112,"Sim"),0)),0)</f>
        <v/>
      </c>
      <c r="H108" s="89" t="inlineStr">
        <is>
          <t>PENDENTE</t>
        </is>
      </c>
      <c r="I108" s="91">
        <f>IF(OR(A108="",B108="",C108="",H108="PENDENTE"),"PENDENTE","OK")</f>
        <v/>
      </c>
    </row>
    <row r="109" ht="30" customHeight="1">
      <c r="A109" s="89" t="inlineStr">
        <is>
          <t>U097</t>
        </is>
      </c>
      <c r="B109" s="89" t="inlineStr">
        <is>
          <t>Residencial Novo</t>
        </is>
      </c>
      <c r="C109" s="90" t="n">
        <v>2806818.18181818</v>
      </c>
      <c r="D109" s="89" t="inlineStr">
        <is>
          <t>Não</t>
        </is>
      </c>
      <c r="E109" s="91">
        <f>IF(D109="Sim","Não","Sim")</f>
        <v/>
      </c>
      <c r="F109" s="44">
        <f>IF(E109="Sim",IF(B109="Residencial Novo",'Premissas &amp; Cenários'!$B$38,IF(B109="Lote Residencial",'Premissas &amp; Cenários'!$B$39,0)),0)</f>
        <v/>
      </c>
      <c r="G109" s="44">
        <f>IF(E109="Sim",MIN(C109,IFERROR('Premissas &amp; Cenários'!$G$57*C109/SUMIFS($C$13:$C$112,$E$13:$E$112,"Sim"),0)),0)</f>
        <v/>
      </c>
      <c r="H109" s="89" t="inlineStr">
        <is>
          <t>PENDENTE</t>
        </is>
      </c>
      <c r="I109" s="91">
        <f>IF(OR(A109="",B109="",C109="",H109="PENDENTE"),"PENDENTE","OK")</f>
        <v/>
      </c>
    </row>
    <row r="110" ht="30" customHeight="1">
      <c r="A110" s="89" t="inlineStr">
        <is>
          <t>U098</t>
        </is>
      </c>
      <c r="B110" s="89" t="inlineStr">
        <is>
          <t>Residencial Novo</t>
        </is>
      </c>
      <c r="C110" s="90" t="n">
        <v>2806818.18181818</v>
      </c>
      <c r="D110" s="89" t="inlineStr">
        <is>
          <t>Não</t>
        </is>
      </c>
      <c r="E110" s="91">
        <f>IF(D110="Sim","Não","Sim")</f>
        <v/>
      </c>
      <c r="F110" s="44">
        <f>IF(E110="Sim",IF(B110="Residencial Novo",'Premissas &amp; Cenários'!$B$38,IF(B110="Lote Residencial",'Premissas &amp; Cenários'!$B$39,0)),0)</f>
        <v/>
      </c>
      <c r="G110" s="44">
        <f>IF(E110="Sim",MIN(C110,IFERROR('Premissas &amp; Cenários'!$G$57*C110/SUMIFS($C$13:$C$112,$E$13:$E$112,"Sim"),0)),0)</f>
        <v/>
      </c>
      <c r="H110" s="89" t="inlineStr">
        <is>
          <t>PENDENTE</t>
        </is>
      </c>
      <c r="I110" s="91">
        <f>IF(OR(A110="",B110="",C110="",H110="PENDENTE"),"PENDENTE","OK")</f>
        <v/>
      </c>
    </row>
    <row r="111" ht="30" customHeight="1">
      <c r="A111" s="89" t="inlineStr">
        <is>
          <t>U099</t>
        </is>
      </c>
      <c r="B111" s="89" t="inlineStr">
        <is>
          <t>Residencial Novo</t>
        </is>
      </c>
      <c r="C111" s="90" t="n">
        <v>2806818.18181818</v>
      </c>
      <c r="D111" s="89" t="inlineStr">
        <is>
          <t>Não</t>
        </is>
      </c>
      <c r="E111" s="91">
        <f>IF(D111="Sim","Não","Sim")</f>
        <v/>
      </c>
      <c r="F111" s="44">
        <f>IF(E111="Sim",IF(B111="Residencial Novo",'Premissas &amp; Cenários'!$B$38,IF(B111="Lote Residencial",'Premissas &amp; Cenários'!$B$39,0)),0)</f>
        <v/>
      </c>
      <c r="G111" s="44">
        <f>IF(E111="Sim",MIN(C111,IFERROR('Premissas &amp; Cenários'!$G$57*C111/SUMIFS($C$13:$C$112,$E$13:$E$112,"Sim"),0)),0)</f>
        <v/>
      </c>
      <c r="H111" s="89" t="inlineStr">
        <is>
          <t>PENDENTE</t>
        </is>
      </c>
      <c r="I111" s="91">
        <f>IF(OR(A111="",B111="",C111="",H111="PENDENTE"),"PENDENTE","OK")</f>
        <v/>
      </c>
    </row>
    <row r="112" ht="30" customHeight="1">
      <c r="A112" s="89" t="inlineStr">
        <is>
          <t>U100</t>
        </is>
      </c>
      <c r="B112" s="89" t="inlineStr">
        <is>
          <t>Residencial Novo</t>
        </is>
      </c>
      <c r="C112" s="90" t="n">
        <v>2806818.18181818</v>
      </c>
      <c r="D112" s="89" t="inlineStr">
        <is>
          <t>Não</t>
        </is>
      </c>
      <c r="E112" s="91">
        <f>IF(D112="Sim","Não","Sim")</f>
        <v/>
      </c>
      <c r="F112" s="44">
        <f>IF(E112="Sim",IF(B112="Residencial Novo",'Premissas &amp; Cenários'!$B$38,IF(B112="Lote Residencial",'Premissas &amp; Cenários'!$B$39,0)),0)</f>
        <v/>
      </c>
      <c r="G112" s="44">
        <f>IF(E112="Sim",MIN(C112,IFERROR('Premissas &amp; Cenários'!$G$57*C112/SUMIFS($C$13:$C$112,$E$13:$E$112,"Sim"),0)),0)</f>
        <v/>
      </c>
      <c r="H112" s="89" t="inlineStr">
        <is>
          <t>PENDENTE</t>
        </is>
      </c>
      <c r="I112" s="91">
        <f>IF(OR(A112="",B112="",C112="",H112="PENDENTE"),"PENDENTE","OK")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zoomScale="80" zoomScaleNormal="80" workbookViewId="0">
      <selection activeCell="H9" sqref="H9"/>
    </sheetView>
  </sheetViews>
  <sheetFormatPr baseColWidth="8" defaultColWidth="8.5703125" defaultRowHeight="15"/>
  <cols>
    <col width="20" customWidth="1" min="1" max="1"/>
    <col width="44" customWidth="1" min="2" max="2"/>
    <col width="32" customWidth="1" min="3" max="3"/>
    <col width="17" customWidth="1" min="4" max="4"/>
    <col width="35" customWidth="1" min="5" max="5"/>
    <col width="18" customWidth="1" min="6" max="6"/>
    <col width="21" customWidth="1" min="7" max="7"/>
    <col width="44" customWidth="1" min="8" max="9"/>
    <col width="21" customWidth="1" min="10" max="10"/>
    <col width="44" customWidth="1" min="11" max="12"/>
  </cols>
  <sheetData>
    <row r="1" ht="20.25" customHeight="1">
      <c r="B1" s="1" t="inlineStr">
        <is>
          <t>Créditos &amp; RAJ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/>
    <row r="3">
      <c r="B3" s="96" t="inlineStr">
        <is>
          <t>Registro de créditos por documento e memória de RAJ por ativo, terreno ou matrícula.</t>
        </is>
      </c>
    </row>
    <row r="4">
      <c r="B4" s="97" t="inlineStr">
        <is>
          <t>Valores monetários em R$ nominais; registros PENDENTE bloqueiam o status de prontidão fiscal.</t>
        </is>
      </c>
    </row>
    <row r="5"/>
    <row r="6" ht="15.75" customHeight="1">
      <c r="A6" s="8" t="inlineStr">
        <is>
          <t>Resumo de créditos e documentação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/>
    <row r="8">
      <c r="A8" s="10" t="inlineStr">
        <is>
          <t>Créditos registrados</t>
        </is>
      </c>
      <c r="B8" s="87">
        <f>SUM(J13:J32)</f>
        <v/>
      </c>
      <c r="D8" s="10" t="inlineStr">
        <is>
          <t>Base elegível</t>
        </is>
      </c>
      <c r="E8" s="46">
        <f>SUM(H13:H32)</f>
        <v/>
      </c>
      <c r="G8" s="10" t="inlineStr">
        <is>
          <t>Registros pendentes</t>
        </is>
      </c>
      <c r="H8" s="46">
        <f>COUNTIF(K13:K32,"PENDENTE")+COUNTIF(I37:I56,"PENDENTE")</f>
        <v/>
      </c>
      <c r="J8" s="10" t="inlineStr">
        <is>
          <t>Status documental</t>
        </is>
      </c>
      <c r="K8" s="92">
        <f>IF(H8=0,"OK","PENDENTE")</f>
        <v/>
      </c>
    </row>
    <row r="9">
      <c r="A9" s="150" t="inlineStr">
        <is>
          <t>Check vs. Premissas</t>
        </is>
      </c>
      <c r="B9" s="151">
        <f>ROUND(B8-'Premissas &amp; Cenários'!$E$102,2)</f>
        <v/>
      </c>
      <c r="D9" s="119" t="inlineStr">
        <is>
          <t>Categorias de obra: Materiais, Serviços de construção ou Mão de obra própria.</t>
        </is>
      </c>
      <c r="E9" s="45">
        <f>B9-'Premissas &amp; Cenários'!$G$57</f>
        <v/>
      </c>
      <c r="G9" s="10" t="inlineStr">
        <is>
          <t>Status geral</t>
        </is>
      </c>
      <c r="H9" s="92">
        <f>IF(AND(K8="OK",ROUND(E9,2)=0),"OK","PENDENTE — REVISAR DOCUMENTOS")</f>
        <v/>
      </c>
    </row>
    <row r="10"/>
    <row r="11" ht="16.5" customHeight="1" thickBot="1">
      <c r="A11" s="8" t="inlineStr">
        <is>
          <t>Registro de créditos por documento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</row>
    <row r="12" ht="26.25" customHeight="1" thickBot="1">
      <c r="A12" s="18" t="inlineStr">
        <is>
          <t>ID</t>
        </is>
      </c>
      <c r="B12" s="18" t="inlineStr">
        <is>
          <t>Tipo</t>
        </is>
      </c>
      <c r="C12" s="18" t="inlineStr">
        <is>
          <t>Categoria</t>
        </is>
      </c>
      <c r="D12" s="18" t="inlineStr">
        <is>
          <t>Fornecedor</t>
        </is>
      </c>
      <c r="E12" s="18" t="inlineStr">
        <is>
          <t>Regime</t>
        </is>
      </c>
      <c r="F12" s="18" t="inlineStr">
        <is>
          <t>Documento fiscal</t>
        </is>
      </c>
      <c r="G12" s="18" t="inlineStr">
        <is>
          <t>Competência</t>
        </is>
      </c>
      <c r="H12" s="18" t="inlineStr">
        <is>
          <t>Base elegível</t>
        </is>
      </c>
      <c r="I12" s="18" t="inlineStr">
        <is>
          <t>Taxa crédito</t>
        </is>
      </c>
      <c r="J12" s="18" t="inlineStr">
        <is>
          <t>Crédito calculado</t>
        </is>
      </c>
      <c r="K12" s="18" t="inlineStr">
        <is>
          <t>Status documental</t>
        </is>
      </c>
      <c r="L12" s="18" t="inlineStr">
        <is>
          <t>Observação</t>
        </is>
      </c>
    </row>
    <row r="13" ht="25.5" customHeight="1">
      <c r="A13" s="89" t="inlineStr">
        <is>
          <t>CR001</t>
        </is>
      </c>
      <c r="B13" s="89" t="inlineStr">
        <is>
          <t>Despesa</t>
        </is>
      </c>
      <c r="C13" s="89" t="inlineStr">
        <is>
          <t>Projetos e engenharia</t>
        </is>
      </c>
      <c r="D13" s="89" t="inlineStr">
        <is>
          <t>PENDENTE</t>
        </is>
      </c>
      <c r="E13" s="89" t="inlineStr">
        <is>
          <t>Regular</t>
        </is>
      </c>
      <c r="F13" s="89" t="inlineStr">
        <is>
          <t>PENDENTE</t>
        </is>
      </c>
      <c r="G13" s="89" t="inlineStr">
        <is>
          <t>PENDENTE</t>
        </is>
      </c>
      <c r="H13" s="44">
        <f>'Premissas &amp; Cenários'!$B$97*'Premissas &amp; Cenários'!$D$97</f>
        <v/>
      </c>
      <c r="I13" s="47">
        <f>IFERROR(IF(E13="Simples Nacional",'Premissas &amp; Cenários'!$B$41,IF(C13="Mão de obra própria",0,IF(OR(C13="Serviços de construção",C13="Comissões de corretagem"),'Premissas &amp; Cenários'!$B$40*(1-'Premissas &amp; Cenários'!$B$34),IF(OR(C13="Projetos e engenharia",C13="Serviços jurídicos e cartórios"),'Premissas &amp; Cenários'!$B$43,'Premissas &amp; Cenários'!$B$40)))),0)</f>
        <v/>
      </c>
      <c r="J13" s="40">
        <f>IFERROR(IF(E13="Simples Nacional",H13*I13,H13*I13/(1+I13)),0)</f>
        <v/>
      </c>
      <c r="K13" s="91">
        <f>IF(OR(D13="PENDENTE",F13="PENDENTE",G13="PENDENTE"),"PENDENTE","OK")</f>
        <v/>
      </c>
      <c r="L13" s="27" t="inlineStr">
        <is>
          <t>Base elegível = valor bruto × parcela com crédito (Premissas). Validar documento, regime e vínculo com o projeto.</t>
        </is>
      </c>
    </row>
    <row r="14" ht="25.5" customHeight="1">
      <c r="A14" s="89" t="inlineStr">
        <is>
          <t>CR002</t>
        </is>
      </c>
      <c r="B14" s="89" t="inlineStr">
        <is>
          <t>Despesa</t>
        </is>
      </c>
      <c r="C14" s="89" t="inlineStr">
        <is>
          <t>Marketing e comercialização</t>
        </is>
      </c>
      <c r="D14" s="89" t="inlineStr">
        <is>
          <t>PENDENTE</t>
        </is>
      </c>
      <c r="E14" s="89" t="inlineStr">
        <is>
          <t>Regular</t>
        </is>
      </c>
      <c r="F14" s="89" t="inlineStr">
        <is>
          <t>PENDENTE</t>
        </is>
      </c>
      <c r="G14" s="89" t="inlineStr">
        <is>
          <t>PENDENTE</t>
        </is>
      </c>
      <c r="H14" s="44">
        <f>'Premissas &amp; Cenários'!$B$98*'Premissas &amp; Cenários'!$D$98</f>
        <v/>
      </c>
      <c r="I14" s="47">
        <f>IFERROR(IF(E14="Simples Nacional",'Premissas &amp; Cenários'!$B$41,IF(C14="Mão de obra própria",0,IF(OR(C14="Serviços de construção",C14="Comissões de corretagem"),'Premissas &amp; Cenários'!$B$40*(1-'Premissas &amp; Cenários'!$B$34),IF(OR(C14="Projetos e engenharia",C14="Serviços jurídicos e cartórios"),'Premissas &amp; Cenários'!$B$43,'Premissas &amp; Cenários'!$B$40)))),0)</f>
        <v/>
      </c>
      <c r="J14" s="40">
        <f>IFERROR(IF(E14="Simples Nacional",H14*I14,H14*I14/(1+I14)),0)</f>
        <v/>
      </c>
      <c r="K14" s="91">
        <f>IF(OR(D14="PENDENTE",F14="PENDENTE",G14="PENDENTE"),"PENDENTE","OK")</f>
        <v/>
      </c>
      <c r="L14" s="27" t="inlineStr">
        <is>
          <t>Crédito indicativo; validar documento, regime, pagamento, vínculo com o projeto e eventual glosa.</t>
        </is>
      </c>
    </row>
    <row r="15" ht="25.5" customHeight="1">
      <c r="A15" s="89" t="inlineStr">
        <is>
          <t>CR003</t>
        </is>
      </c>
      <c r="B15" s="89" t="inlineStr">
        <is>
          <t>Despesa</t>
        </is>
      </c>
      <c r="C15" s="89" t="inlineStr">
        <is>
          <t>Comissões de corretagem</t>
        </is>
      </c>
      <c r="D15" s="89" t="inlineStr">
        <is>
          <t>PENDENTE</t>
        </is>
      </c>
      <c r="E15" s="89" t="inlineStr">
        <is>
          <t>Regular</t>
        </is>
      </c>
      <c r="F15" s="89" t="inlineStr">
        <is>
          <t>PENDENTE</t>
        </is>
      </c>
      <c r="G15" s="89" t="inlineStr">
        <is>
          <t>PENDENTE</t>
        </is>
      </c>
      <c r="H15" s="44">
        <f>'Premissas &amp; Cenários'!$B$99*'Premissas &amp; Cenários'!$D$99</f>
        <v/>
      </c>
      <c r="I15" s="47">
        <f>IFERROR(IF(E15="Simples Nacional",'Premissas &amp; Cenários'!$B$41,IF(C15="Mão de obra própria",0,IF(OR(C15="Serviços de construção",C15="Comissões de corretagem"),'Premissas &amp; Cenários'!$B$40*(1-'Premissas &amp; Cenários'!$B$34),IF(OR(C15="Projetos e engenharia",C15="Serviços jurídicos e cartórios"),'Premissas &amp; Cenários'!$B$43,'Premissas &amp; Cenários'!$B$40)))),0)</f>
        <v/>
      </c>
      <c r="J15" s="40">
        <f>IFERROR(IF(E15="Simples Nacional",H15*I15,H15*I15/(1+I15)),0)</f>
        <v/>
      </c>
      <c r="K15" s="91">
        <f>IF(OR(D15="PENDENTE",F15="PENDENTE",G15="PENDENTE"),"PENDENTE","OK")</f>
        <v/>
      </c>
      <c r="L15" s="27" t="inlineStr">
        <is>
          <t>Crédito indicativo; validar documento, regime, pagamento, vínculo com o projeto e eventual glosa.</t>
        </is>
      </c>
    </row>
    <row r="16" ht="25.5" customHeight="1">
      <c r="A16" s="89" t="inlineStr">
        <is>
          <t>CR004</t>
        </is>
      </c>
      <c r="B16" s="89" t="inlineStr">
        <is>
          <t>Despesa</t>
        </is>
      </c>
      <c r="C16" s="89" t="inlineStr">
        <is>
          <t>Administração central</t>
        </is>
      </c>
      <c r="D16" s="89" t="inlineStr">
        <is>
          <t>PENDENTE</t>
        </is>
      </c>
      <c r="E16" s="89" t="inlineStr">
        <is>
          <t>Regular</t>
        </is>
      </c>
      <c r="F16" s="89" t="inlineStr">
        <is>
          <t>PENDENTE</t>
        </is>
      </c>
      <c r="G16" s="89" t="inlineStr">
        <is>
          <t>PENDENTE</t>
        </is>
      </c>
      <c r="H16" s="44">
        <f>'Premissas &amp; Cenários'!$B$100*'Premissas &amp; Cenários'!$D$100</f>
        <v/>
      </c>
      <c r="I16" s="47">
        <f>IFERROR(IF(E16="Simples Nacional",'Premissas &amp; Cenários'!$B$41,IF(C16="Mão de obra própria",0,IF(OR(C16="Serviços de construção",C16="Comissões de corretagem"),'Premissas &amp; Cenários'!$B$40*(1-'Premissas &amp; Cenários'!$B$34),IF(OR(C16="Projetos e engenharia",C16="Serviços jurídicos e cartórios"),'Premissas &amp; Cenários'!$B$43,'Premissas &amp; Cenários'!$B$40)))),0)</f>
        <v/>
      </c>
      <c r="J16" s="40">
        <f>IFERROR(IF(E16="Simples Nacional",H16*I16,H16*I16/(1+I16)),0)</f>
        <v/>
      </c>
      <c r="K16" s="91">
        <f>IF(OR(D16="PENDENTE",F16="PENDENTE",G16="PENDENTE"),"PENDENTE","OK")</f>
        <v/>
      </c>
      <c r="L16" s="27" t="inlineStr">
        <is>
          <t>Crédito indicativo; validar documento, regime, pagamento, vínculo com o projeto e eventual glosa.</t>
        </is>
      </c>
    </row>
    <row r="17" ht="25.5" customHeight="1">
      <c r="A17" s="89" t="inlineStr">
        <is>
          <t>CR005</t>
        </is>
      </c>
      <c r="B17" s="89" t="inlineStr">
        <is>
          <t>Despesa</t>
        </is>
      </c>
      <c r="C17" s="89" t="inlineStr">
        <is>
          <t>Serviços jurídicos e cartórios</t>
        </is>
      </c>
      <c r="D17" s="89" t="inlineStr">
        <is>
          <t>PENDENTE</t>
        </is>
      </c>
      <c r="E17" s="89" t="inlineStr">
        <is>
          <t>Regular</t>
        </is>
      </c>
      <c r="F17" s="89" t="inlineStr">
        <is>
          <t>PENDENTE</t>
        </is>
      </c>
      <c r="G17" s="89" t="inlineStr">
        <is>
          <t>PENDENTE</t>
        </is>
      </c>
      <c r="H17" s="44">
        <f>'Premissas &amp; Cenários'!$B$101*'Premissas &amp; Cenários'!$D$101</f>
        <v/>
      </c>
      <c r="I17" s="47">
        <f>IFERROR(IF(E17="Simples Nacional",'Premissas &amp; Cenários'!$B$41,IF(C17="Mão de obra própria",0,IF(OR(C17="Serviços de construção",C17="Comissões de corretagem"),'Premissas &amp; Cenários'!$B$40*(1-'Premissas &amp; Cenários'!$B$34),IF(OR(C17="Projetos e engenharia",C17="Serviços jurídicos e cartórios"),'Premissas &amp; Cenários'!$B$43,'Premissas &amp; Cenários'!$B$40)))),0)</f>
        <v/>
      </c>
      <c r="J17" s="40">
        <f>IFERROR(IF(E17="Simples Nacional",H17*I17,H17*I17/(1+I17)),0)</f>
        <v/>
      </c>
      <c r="K17" s="91">
        <f>IF(OR(D17="PENDENTE",F17="PENDENTE",G17="PENDENTE"),"PENDENTE","OK")</f>
        <v/>
      </c>
      <c r="L17" s="27" t="inlineStr">
        <is>
          <t>Crédito indicativo; validar documento, regime, pagamento, vínculo com o projeto e eventual glosa.</t>
        </is>
      </c>
    </row>
    <row r="18" ht="25.5" customHeight="1">
      <c r="A18" s="89" t="inlineStr">
        <is>
          <t>CR006</t>
        </is>
      </c>
      <c r="B18" s="89" t="inlineStr">
        <is>
          <t>Obra</t>
        </is>
      </c>
      <c r="C18" s="89" t="inlineStr">
        <is>
          <t>PENDENTE</t>
        </is>
      </c>
      <c r="D18" s="89" t="inlineStr">
        <is>
          <t>PENDENTE</t>
        </is>
      </c>
      <c r="E18" s="89" t="inlineStr">
        <is>
          <t>Regular</t>
        </is>
      </c>
      <c r="F18" s="89" t="inlineStr">
        <is>
          <t>PENDENTE</t>
        </is>
      </c>
      <c r="G18" s="89" t="inlineStr">
        <is>
          <t>PENDENTE</t>
        </is>
      </c>
      <c r="H18" s="84" t="n">
        <v>0</v>
      </c>
      <c r="I18" s="47">
        <f>IFERROR(IF(E18="Simples Nacional",'Premissas &amp; Cenários'!$B$41,IF(C18="Mão de obra própria",0,IF(OR(C18="Serviços de construção",C18="Comissões de corretagem"),'Premissas &amp; Cenários'!$B$40*(1-'Premissas &amp; Cenários'!$B$34),IF(OR(C18="Projetos e engenharia",C18="Serviços jurídicos e cartórios"),'Premissas &amp; Cenários'!$B$43,'Premissas &amp; Cenários'!$B$40)))),0)</f>
        <v/>
      </c>
      <c r="J18" s="40">
        <f>IFERROR(IF(E18="Simples Nacional",H18*I18,H18*I18/(1+I18)),0)</f>
        <v/>
      </c>
      <c r="K18" s="91">
        <f>IF(OR(D18="PENDENTE",F18="PENDENTE",G18="PENDENTE"),"PENDENTE","OK")</f>
        <v/>
      </c>
      <c r="L18" s="27" t="inlineStr">
        <is>
          <t>Crédito indicativo; validar documento, regime, pagamento, vínculo com o projeto e eventual glosa.</t>
        </is>
      </c>
    </row>
    <row r="19" ht="25.5" customHeight="1">
      <c r="A19" s="89" t="inlineStr">
        <is>
          <t>CR007</t>
        </is>
      </c>
      <c r="B19" s="89" t="inlineStr">
        <is>
          <t>Obra</t>
        </is>
      </c>
      <c r="C19" s="89" t="inlineStr">
        <is>
          <t>PENDENTE</t>
        </is>
      </c>
      <c r="D19" s="89" t="inlineStr">
        <is>
          <t>PENDENTE</t>
        </is>
      </c>
      <c r="E19" s="89" t="inlineStr">
        <is>
          <t>Regular</t>
        </is>
      </c>
      <c r="F19" s="89" t="inlineStr">
        <is>
          <t>PENDENTE</t>
        </is>
      </c>
      <c r="G19" s="89" t="inlineStr">
        <is>
          <t>PENDENTE</t>
        </is>
      </c>
      <c r="H19" s="84" t="n">
        <v>0</v>
      </c>
      <c r="I19" s="47">
        <f>IFERROR(IF(E19="Simples Nacional",'Premissas &amp; Cenários'!$B$41,IF(C19="Mão de obra própria",0,IF(OR(C19="Serviços de construção",C19="Comissões de corretagem"),'Premissas &amp; Cenários'!$B$40*(1-'Premissas &amp; Cenários'!$B$34),IF(OR(C19="Projetos e engenharia",C19="Serviços jurídicos e cartórios"),'Premissas &amp; Cenários'!$B$43,'Premissas &amp; Cenários'!$B$40)))),0)</f>
        <v/>
      </c>
      <c r="J19" s="40">
        <f>IFERROR(IF(E19="Simples Nacional",H19*I19,H19*I19/(1+I19)),0)</f>
        <v/>
      </c>
      <c r="K19" s="91">
        <f>IF(OR(D19="PENDENTE",F19="PENDENTE",G19="PENDENTE"),"PENDENTE","OK")</f>
        <v/>
      </c>
      <c r="L19" s="27" t="inlineStr">
        <is>
          <t>Crédito indicativo; validar documento, regime, pagamento, vínculo com o projeto e eventual glosa.</t>
        </is>
      </c>
    </row>
    <row r="20" ht="25.5" customHeight="1">
      <c r="A20" s="89" t="inlineStr">
        <is>
          <t>CR008</t>
        </is>
      </c>
      <c r="B20" s="89" t="inlineStr">
        <is>
          <t>Obra</t>
        </is>
      </c>
      <c r="C20" s="89" t="inlineStr">
        <is>
          <t>PENDENTE</t>
        </is>
      </c>
      <c r="D20" s="89" t="inlineStr">
        <is>
          <t>PENDENTE</t>
        </is>
      </c>
      <c r="E20" s="89" t="inlineStr">
        <is>
          <t>Regular</t>
        </is>
      </c>
      <c r="F20" s="89" t="inlineStr">
        <is>
          <t>PENDENTE</t>
        </is>
      </c>
      <c r="G20" s="89" t="inlineStr">
        <is>
          <t>PENDENTE</t>
        </is>
      </c>
      <c r="H20" s="84" t="n">
        <v>0</v>
      </c>
      <c r="I20" s="47">
        <f>IFERROR(IF(E20="Simples Nacional",'Premissas &amp; Cenários'!$B$41,IF(C20="Mão de obra própria",0,IF(OR(C20="Serviços de construção",C20="Comissões de corretagem"),'Premissas &amp; Cenários'!$B$40*(1-'Premissas &amp; Cenários'!$B$34),IF(OR(C20="Projetos e engenharia",C20="Serviços jurídicos e cartórios"),'Premissas &amp; Cenários'!$B$43,'Premissas &amp; Cenários'!$B$40)))),0)</f>
        <v/>
      </c>
      <c r="J20" s="40">
        <f>IFERROR(IF(E20="Simples Nacional",H20*I20,H20*I20/(1+I20)),0)</f>
        <v/>
      </c>
      <c r="K20" s="91">
        <f>IF(OR(D20="PENDENTE",F20="PENDENTE",G20="PENDENTE"),"PENDENTE","OK")</f>
        <v/>
      </c>
      <c r="L20" s="27" t="inlineStr">
        <is>
          <t>Crédito indicativo; validar documento, regime, pagamento, vínculo com o projeto e eventual glosa.</t>
        </is>
      </c>
    </row>
    <row r="21" ht="25.5" customHeight="1">
      <c r="A21" s="89" t="inlineStr">
        <is>
          <t>CR009</t>
        </is>
      </c>
      <c r="B21" s="89" t="inlineStr">
        <is>
          <t>Obra</t>
        </is>
      </c>
      <c r="C21" s="89" t="inlineStr">
        <is>
          <t>PENDENTE</t>
        </is>
      </c>
      <c r="D21" s="89" t="inlineStr">
        <is>
          <t>PENDENTE</t>
        </is>
      </c>
      <c r="E21" s="89" t="inlineStr">
        <is>
          <t>Regular</t>
        </is>
      </c>
      <c r="F21" s="89" t="inlineStr">
        <is>
          <t>PENDENTE</t>
        </is>
      </c>
      <c r="G21" s="89" t="inlineStr">
        <is>
          <t>PENDENTE</t>
        </is>
      </c>
      <c r="H21" s="84" t="n">
        <v>0</v>
      </c>
      <c r="I21" s="47">
        <f>IFERROR(IF(E21="Simples Nacional",'Premissas &amp; Cenários'!$B$41,IF(C21="Mão de obra própria",0,IF(OR(C21="Serviços de construção",C21="Comissões de corretagem"),'Premissas &amp; Cenários'!$B$40*(1-'Premissas &amp; Cenários'!$B$34),IF(OR(C21="Projetos e engenharia",C21="Serviços jurídicos e cartórios"),'Premissas &amp; Cenários'!$B$43,'Premissas &amp; Cenários'!$B$40)))),0)</f>
        <v/>
      </c>
      <c r="J21" s="40">
        <f>IFERROR(IF(E21="Simples Nacional",H21*I21,H21*I21/(1+I21)),0)</f>
        <v/>
      </c>
      <c r="K21" s="91">
        <f>IF(OR(D21="PENDENTE",F21="PENDENTE",G21="PENDENTE"),"PENDENTE","OK")</f>
        <v/>
      </c>
      <c r="L21" s="27" t="inlineStr">
        <is>
          <t>Crédito indicativo; validar documento, regime, pagamento, vínculo com o projeto e eventual glosa.</t>
        </is>
      </c>
    </row>
    <row r="22" ht="25.5" customHeight="1">
      <c r="A22" s="89" t="inlineStr">
        <is>
          <t>CR010</t>
        </is>
      </c>
      <c r="B22" s="89" t="inlineStr">
        <is>
          <t>Obra</t>
        </is>
      </c>
      <c r="C22" s="89" t="inlineStr">
        <is>
          <t>PENDENTE</t>
        </is>
      </c>
      <c r="D22" s="89" t="inlineStr">
        <is>
          <t>PENDENTE</t>
        </is>
      </c>
      <c r="E22" s="89" t="inlineStr">
        <is>
          <t>Regular</t>
        </is>
      </c>
      <c r="F22" s="89" t="inlineStr">
        <is>
          <t>PENDENTE</t>
        </is>
      </c>
      <c r="G22" s="89" t="inlineStr">
        <is>
          <t>PENDENTE</t>
        </is>
      </c>
      <c r="H22" s="84" t="n">
        <v>0</v>
      </c>
      <c r="I22" s="47">
        <f>IFERROR(IF(E22="Simples Nacional",'Premissas &amp; Cenários'!$B$41,IF(C22="Mão de obra própria",0,IF(OR(C22="Serviços de construção",C22="Comissões de corretagem"),'Premissas &amp; Cenários'!$B$40*(1-'Premissas &amp; Cenários'!$B$34),IF(OR(C22="Projetos e engenharia",C22="Serviços jurídicos e cartórios"),'Premissas &amp; Cenários'!$B$43,'Premissas &amp; Cenários'!$B$40)))),0)</f>
        <v/>
      </c>
      <c r="J22" s="40">
        <f>IFERROR(IF(E22="Simples Nacional",H22*I22,H22*I22/(1+I22)),0)</f>
        <v/>
      </c>
      <c r="K22" s="91">
        <f>IF(OR(D22="PENDENTE",F22="PENDENTE",G22="PENDENTE"),"PENDENTE","OK")</f>
        <v/>
      </c>
      <c r="L22" s="27" t="inlineStr">
        <is>
          <t>Crédito indicativo; validar documento, regime, pagamento, vínculo com o projeto e eventual glosa.</t>
        </is>
      </c>
    </row>
    <row r="23" ht="25.5" customHeight="1">
      <c r="A23" s="89" t="inlineStr">
        <is>
          <t>CR011</t>
        </is>
      </c>
      <c r="B23" s="89" t="inlineStr">
        <is>
          <t>Obra</t>
        </is>
      </c>
      <c r="C23" s="89" t="inlineStr">
        <is>
          <t>PENDENTE</t>
        </is>
      </c>
      <c r="D23" s="89" t="inlineStr">
        <is>
          <t>PENDENTE</t>
        </is>
      </c>
      <c r="E23" s="89" t="inlineStr">
        <is>
          <t>Regular</t>
        </is>
      </c>
      <c r="F23" s="89" t="inlineStr">
        <is>
          <t>PENDENTE</t>
        </is>
      </c>
      <c r="G23" s="89" t="inlineStr">
        <is>
          <t>PENDENTE</t>
        </is>
      </c>
      <c r="H23" s="84" t="n">
        <v>0</v>
      </c>
      <c r="I23" s="47">
        <f>IFERROR(IF(E23="Simples Nacional",'Premissas &amp; Cenários'!$B$41,IF(C23="Mão de obra própria",0,IF(OR(C23="Serviços de construção",C23="Comissões de corretagem"),'Premissas &amp; Cenários'!$B$40*(1-'Premissas &amp; Cenários'!$B$34),IF(OR(C23="Projetos e engenharia",C23="Serviços jurídicos e cartórios"),'Premissas &amp; Cenários'!$B$43,'Premissas &amp; Cenários'!$B$40)))),0)</f>
        <v/>
      </c>
      <c r="J23" s="40">
        <f>IFERROR(IF(E23="Simples Nacional",H23*I23,H23*I23/(1+I23)),0)</f>
        <v/>
      </c>
      <c r="K23" s="91">
        <f>IF(OR(D23="PENDENTE",F23="PENDENTE",G23="PENDENTE"),"PENDENTE","OK")</f>
        <v/>
      </c>
      <c r="L23" s="27" t="inlineStr">
        <is>
          <t>Crédito indicativo; validar documento, regime, pagamento, vínculo com o projeto e eventual glosa.</t>
        </is>
      </c>
    </row>
    <row r="24" ht="25.5" customHeight="1">
      <c r="A24" s="89" t="inlineStr">
        <is>
          <t>CR012</t>
        </is>
      </c>
      <c r="B24" s="89" t="inlineStr">
        <is>
          <t>Obra</t>
        </is>
      </c>
      <c r="C24" s="89" t="inlineStr">
        <is>
          <t>PENDENTE</t>
        </is>
      </c>
      <c r="D24" s="89" t="inlineStr">
        <is>
          <t>PENDENTE</t>
        </is>
      </c>
      <c r="E24" s="89" t="inlineStr">
        <is>
          <t>Regular</t>
        </is>
      </c>
      <c r="F24" s="89" t="inlineStr">
        <is>
          <t>PENDENTE</t>
        </is>
      </c>
      <c r="G24" s="89" t="inlineStr">
        <is>
          <t>PENDENTE</t>
        </is>
      </c>
      <c r="H24" s="84" t="n">
        <v>0</v>
      </c>
      <c r="I24" s="47">
        <f>IFERROR(IF(E24="Simples Nacional",'Premissas &amp; Cenários'!$B$41,IF(C24="Mão de obra própria",0,IF(OR(C24="Serviços de construção",C24="Comissões de corretagem"),'Premissas &amp; Cenários'!$B$40*(1-'Premissas &amp; Cenários'!$B$34),IF(OR(C24="Projetos e engenharia",C24="Serviços jurídicos e cartórios"),'Premissas &amp; Cenários'!$B$43,'Premissas &amp; Cenários'!$B$40)))),0)</f>
        <v/>
      </c>
      <c r="J24" s="40">
        <f>IFERROR(IF(E24="Simples Nacional",H24*I24,H24*I24/(1+I24)),0)</f>
        <v/>
      </c>
      <c r="K24" s="91">
        <f>IF(OR(D24="PENDENTE",F24="PENDENTE",G24="PENDENTE"),"PENDENTE","OK")</f>
        <v/>
      </c>
      <c r="L24" s="27" t="inlineStr">
        <is>
          <t>Crédito indicativo; validar documento, regime, pagamento, vínculo com o projeto e eventual glosa.</t>
        </is>
      </c>
    </row>
    <row r="25" ht="25.5" customHeight="1">
      <c r="A25" s="89" t="inlineStr">
        <is>
          <t>CR013</t>
        </is>
      </c>
      <c r="B25" s="89" t="inlineStr">
        <is>
          <t>Obra</t>
        </is>
      </c>
      <c r="C25" s="89" t="inlineStr">
        <is>
          <t>PENDENTE</t>
        </is>
      </c>
      <c r="D25" s="89" t="inlineStr">
        <is>
          <t>PENDENTE</t>
        </is>
      </c>
      <c r="E25" s="89" t="inlineStr">
        <is>
          <t>Regular</t>
        </is>
      </c>
      <c r="F25" s="89" t="inlineStr">
        <is>
          <t>PENDENTE</t>
        </is>
      </c>
      <c r="G25" s="89" t="inlineStr">
        <is>
          <t>PENDENTE</t>
        </is>
      </c>
      <c r="H25" s="84" t="n">
        <v>0</v>
      </c>
      <c r="I25" s="47">
        <f>IFERROR(IF(E25="Simples Nacional",'Premissas &amp; Cenários'!$B$41,IF(C25="Mão de obra própria",0,IF(OR(C25="Serviços de construção",C25="Comissões de corretagem"),'Premissas &amp; Cenários'!$B$40*(1-'Premissas &amp; Cenários'!$B$34),IF(OR(C25="Projetos e engenharia",C25="Serviços jurídicos e cartórios"),'Premissas &amp; Cenários'!$B$43,'Premissas &amp; Cenários'!$B$40)))),0)</f>
        <v/>
      </c>
      <c r="J25" s="40">
        <f>IFERROR(IF(E25="Simples Nacional",H25*I25,H25*I25/(1+I25)),0)</f>
        <v/>
      </c>
      <c r="K25" s="91">
        <f>IF(OR(D25="PENDENTE",F25="PENDENTE",G25="PENDENTE"),"PENDENTE","OK")</f>
        <v/>
      </c>
      <c r="L25" s="27" t="inlineStr">
        <is>
          <t>Crédito indicativo; validar documento, regime, pagamento, vínculo com o projeto e eventual glosa.</t>
        </is>
      </c>
    </row>
    <row r="26" ht="25.5" customHeight="1">
      <c r="A26" s="89" t="inlineStr">
        <is>
          <t>CR014</t>
        </is>
      </c>
      <c r="B26" s="89" t="inlineStr">
        <is>
          <t>Obra</t>
        </is>
      </c>
      <c r="C26" s="89" t="inlineStr">
        <is>
          <t>PENDENTE</t>
        </is>
      </c>
      <c r="D26" s="89" t="inlineStr">
        <is>
          <t>PENDENTE</t>
        </is>
      </c>
      <c r="E26" s="89" t="inlineStr">
        <is>
          <t>Regular</t>
        </is>
      </c>
      <c r="F26" s="89" t="inlineStr">
        <is>
          <t>PENDENTE</t>
        </is>
      </c>
      <c r="G26" s="89" t="inlineStr">
        <is>
          <t>PENDENTE</t>
        </is>
      </c>
      <c r="H26" s="84" t="n">
        <v>0</v>
      </c>
      <c r="I26" s="47">
        <f>IFERROR(IF(E26="Simples Nacional",'Premissas &amp; Cenários'!$B$41,IF(C26="Mão de obra própria",0,IF(OR(C26="Serviços de construção",C26="Comissões de corretagem"),'Premissas &amp; Cenários'!$B$40*(1-'Premissas &amp; Cenários'!$B$34),IF(OR(C26="Projetos e engenharia",C26="Serviços jurídicos e cartórios"),'Premissas &amp; Cenários'!$B$43,'Premissas &amp; Cenários'!$B$40)))),0)</f>
        <v/>
      </c>
      <c r="J26" s="40">
        <f>IFERROR(IF(E26="Simples Nacional",H26*I26,H26*I26/(1+I26)),0)</f>
        <v/>
      </c>
      <c r="K26" s="91">
        <f>IF(OR(D26="PENDENTE",F26="PENDENTE",G26="PENDENTE"),"PENDENTE","OK")</f>
        <v/>
      </c>
      <c r="L26" s="27" t="inlineStr">
        <is>
          <t>Crédito indicativo; validar documento, regime, pagamento, vínculo com o projeto e eventual glosa.</t>
        </is>
      </c>
    </row>
    <row r="27" ht="25.5" customHeight="1">
      <c r="A27" s="89" t="inlineStr">
        <is>
          <t>CR015</t>
        </is>
      </c>
      <c r="B27" s="89" t="inlineStr">
        <is>
          <t>Obra</t>
        </is>
      </c>
      <c r="C27" s="89" t="inlineStr">
        <is>
          <t>PENDENTE</t>
        </is>
      </c>
      <c r="D27" s="89" t="inlineStr">
        <is>
          <t>PENDENTE</t>
        </is>
      </c>
      <c r="E27" s="89" t="inlineStr">
        <is>
          <t>Regular</t>
        </is>
      </c>
      <c r="F27" s="89" t="inlineStr">
        <is>
          <t>PENDENTE</t>
        </is>
      </c>
      <c r="G27" s="89" t="inlineStr">
        <is>
          <t>PENDENTE</t>
        </is>
      </c>
      <c r="H27" s="84" t="n">
        <v>0</v>
      </c>
      <c r="I27" s="47">
        <f>IFERROR(IF(E27="Simples Nacional",'Premissas &amp; Cenários'!$B$41,IF(C27="Mão de obra própria",0,IF(OR(C27="Serviços de construção",C27="Comissões de corretagem"),'Premissas &amp; Cenários'!$B$40*(1-'Premissas &amp; Cenários'!$B$34),IF(OR(C27="Projetos e engenharia",C27="Serviços jurídicos e cartórios"),'Premissas &amp; Cenários'!$B$43,'Premissas &amp; Cenários'!$B$40)))),0)</f>
        <v/>
      </c>
      <c r="J27" s="40">
        <f>IFERROR(IF(E27="Simples Nacional",H27*I27,H27*I27/(1+I27)),0)</f>
        <v/>
      </c>
      <c r="K27" s="91">
        <f>IF(OR(D27="PENDENTE",F27="PENDENTE",G27="PENDENTE"),"PENDENTE","OK")</f>
        <v/>
      </c>
      <c r="L27" s="27" t="inlineStr">
        <is>
          <t>Crédito indicativo; validar documento, regime, pagamento, vínculo com o projeto e eventual glosa.</t>
        </is>
      </c>
    </row>
    <row r="28" ht="25.5" customHeight="1">
      <c r="A28" s="89" t="inlineStr">
        <is>
          <t>CR016</t>
        </is>
      </c>
      <c r="B28" s="89" t="inlineStr">
        <is>
          <t>Obra</t>
        </is>
      </c>
      <c r="C28" s="89" t="inlineStr">
        <is>
          <t>PENDENTE</t>
        </is>
      </c>
      <c r="D28" s="89" t="inlineStr">
        <is>
          <t>PENDENTE</t>
        </is>
      </c>
      <c r="E28" s="89" t="inlineStr">
        <is>
          <t>Regular</t>
        </is>
      </c>
      <c r="F28" s="89" t="inlineStr">
        <is>
          <t>PENDENTE</t>
        </is>
      </c>
      <c r="G28" s="89" t="inlineStr">
        <is>
          <t>PENDENTE</t>
        </is>
      </c>
      <c r="H28" s="84" t="n">
        <v>0</v>
      </c>
      <c r="I28" s="47">
        <f>IFERROR(IF(E28="Simples Nacional",'Premissas &amp; Cenários'!$B$41,IF(C28="Mão de obra própria",0,IF(OR(C28="Serviços de construção",C28="Comissões de corretagem"),'Premissas &amp; Cenários'!$B$40*(1-'Premissas &amp; Cenários'!$B$34),IF(OR(C28="Projetos e engenharia",C28="Serviços jurídicos e cartórios"),'Premissas &amp; Cenários'!$B$43,'Premissas &amp; Cenários'!$B$40)))),0)</f>
        <v/>
      </c>
      <c r="J28" s="40">
        <f>IFERROR(IF(E28="Simples Nacional",H28*I28,H28*I28/(1+I28)),0)</f>
        <v/>
      </c>
      <c r="K28" s="91">
        <f>IF(OR(D28="PENDENTE",F28="PENDENTE",G28="PENDENTE"),"PENDENTE","OK")</f>
        <v/>
      </c>
      <c r="L28" s="27" t="inlineStr">
        <is>
          <t>Crédito indicativo; validar documento, regime, pagamento, vínculo com o projeto e eventual glosa.</t>
        </is>
      </c>
    </row>
    <row r="29" ht="25.5" customHeight="1">
      <c r="A29" s="89" t="inlineStr">
        <is>
          <t>CR017</t>
        </is>
      </c>
      <c r="B29" s="89" t="inlineStr">
        <is>
          <t>Obra</t>
        </is>
      </c>
      <c r="C29" s="89" t="inlineStr">
        <is>
          <t>PENDENTE</t>
        </is>
      </c>
      <c r="D29" s="89" t="inlineStr">
        <is>
          <t>PENDENTE</t>
        </is>
      </c>
      <c r="E29" s="89" t="inlineStr">
        <is>
          <t>Regular</t>
        </is>
      </c>
      <c r="F29" s="89" t="inlineStr">
        <is>
          <t>PENDENTE</t>
        </is>
      </c>
      <c r="G29" s="89" t="inlineStr">
        <is>
          <t>PENDENTE</t>
        </is>
      </c>
      <c r="H29" s="84" t="n">
        <v>0</v>
      </c>
      <c r="I29" s="47">
        <f>IFERROR(IF(E29="Simples Nacional",'Premissas &amp; Cenários'!$B$41,IF(C29="Mão de obra própria",0,IF(OR(C29="Serviços de construção",C29="Comissões de corretagem"),'Premissas &amp; Cenários'!$B$40*(1-'Premissas &amp; Cenários'!$B$34),IF(OR(C29="Projetos e engenharia",C29="Serviços jurídicos e cartórios"),'Premissas &amp; Cenários'!$B$43,'Premissas &amp; Cenários'!$B$40)))),0)</f>
        <v/>
      </c>
      <c r="J29" s="40">
        <f>IFERROR(IF(E29="Simples Nacional",H29*I29,H29*I29/(1+I29)),0)</f>
        <v/>
      </c>
      <c r="K29" s="91">
        <f>IF(OR(D29="PENDENTE",F29="PENDENTE",G29="PENDENTE"),"PENDENTE","OK")</f>
        <v/>
      </c>
      <c r="L29" s="27" t="inlineStr">
        <is>
          <t>Crédito indicativo; validar documento, regime, pagamento, vínculo com o projeto e eventual glosa.</t>
        </is>
      </c>
    </row>
    <row r="30" ht="25.5" customHeight="1">
      <c r="A30" s="89" t="inlineStr">
        <is>
          <t>CR018</t>
        </is>
      </c>
      <c r="B30" s="89" t="inlineStr">
        <is>
          <t>Obra</t>
        </is>
      </c>
      <c r="C30" s="89" t="inlineStr">
        <is>
          <t>PENDENTE</t>
        </is>
      </c>
      <c r="D30" s="89" t="inlineStr">
        <is>
          <t>PENDENTE</t>
        </is>
      </c>
      <c r="E30" s="89" t="inlineStr">
        <is>
          <t>Regular</t>
        </is>
      </c>
      <c r="F30" s="89" t="inlineStr">
        <is>
          <t>PENDENTE</t>
        </is>
      </c>
      <c r="G30" s="89" t="inlineStr">
        <is>
          <t>PENDENTE</t>
        </is>
      </c>
      <c r="H30" s="84" t="n">
        <v>0</v>
      </c>
      <c r="I30" s="47">
        <f>IFERROR(IF(E30="Simples Nacional",'Premissas &amp; Cenários'!$B$41,IF(C30="Mão de obra própria",0,IF(OR(C30="Serviços de construção",C30="Comissões de corretagem"),'Premissas &amp; Cenários'!$B$40*(1-'Premissas &amp; Cenários'!$B$34),IF(OR(C30="Projetos e engenharia",C30="Serviços jurídicos e cartórios"),'Premissas &amp; Cenários'!$B$43,'Premissas &amp; Cenários'!$B$40)))),0)</f>
        <v/>
      </c>
      <c r="J30" s="40">
        <f>IFERROR(IF(E30="Simples Nacional",H30*I30,H30*I30/(1+I30)),0)</f>
        <v/>
      </c>
      <c r="K30" s="91">
        <f>IF(OR(D30="PENDENTE",F30="PENDENTE",G30="PENDENTE"),"PENDENTE","OK")</f>
        <v/>
      </c>
      <c r="L30" s="27" t="inlineStr">
        <is>
          <t>Crédito indicativo; validar documento, regime, pagamento, vínculo com o projeto e eventual glosa.</t>
        </is>
      </c>
    </row>
    <row r="31" ht="25.5" customHeight="1">
      <c r="A31" s="89" t="inlineStr">
        <is>
          <t>CR019</t>
        </is>
      </c>
      <c r="B31" s="89" t="inlineStr">
        <is>
          <t>Obra</t>
        </is>
      </c>
      <c r="C31" s="89" t="inlineStr">
        <is>
          <t>PENDENTE</t>
        </is>
      </c>
      <c r="D31" s="89" t="inlineStr">
        <is>
          <t>PENDENTE</t>
        </is>
      </c>
      <c r="E31" s="89" t="inlineStr">
        <is>
          <t>Regular</t>
        </is>
      </c>
      <c r="F31" s="89" t="inlineStr">
        <is>
          <t>PENDENTE</t>
        </is>
      </c>
      <c r="G31" s="89" t="inlineStr">
        <is>
          <t>PENDENTE</t>
        </is>
      </c>
      <c r="H31" s="84" t="n">
        <v>0</v>
      </c>
      <c r="I31" s="47">
        <f>IFERROR(IF(E31="Simples Nacional",'Premissas &amp; Cenários'!$B$41,IF(C31="Mão de obra própria",0,IF(OR(C31="Serviços de construção",C31="Comissões de corretagem"),'Premissas &amp; Cenários'!$B$40*(1-'Premissas &amp; Cenários'!$B$34),IF(OR(C31="Projetos e engenharia",C31="Serviços jurídicos e cartórios"),'Premissas &amp; Cenários'!$B$43,'Premissas &amp; Cenários'!$B$40)))),0)</f>
        <v/>
      </c>
      <c r="J31" s="40">
        <f>IFERROR(IF(E31="Simples Nacional",H31*I31,H31*I31/(1+I31)),0)</f>
        <v/>
      </c>
      <c r="K31" s="91">
        <f>IF(OR(D31="PENDENTE",F31="PENDENTE",G31="PENDENTE"),"PENDENTE","OK")</f>
        <v/>
      </c>
      <c r="L31" s="27" t="inlineStr">
        <is>
          <t>Crédito indicativo; validar documento, regime, pagamento, vínculo com o projeto e eventual glosa.</t>
        </is>
      </c>
    </row>
    <row r="32" ht="25.5" customHeight="1">
      <c r="A32" s="89" t="inlineStr">
        <is>
          <t>CR020</t>
        </is>
      </c>
      <c r="B32" s="89" t="inlineStr">
        <is>
          <t>Obra</t>
        </is>
      </c>
      <c r="C32" s="89" t="inlineStr">
        <is>
          <t>PENDENTE</t>
        </is>
      </c>
      <c r="D32" s="89" t="inlineStr">
        <is>
          <t>PENDENTE</t>
        </is>
      </c>
      <c r="E32" s="89" t="inlineStr">
        <is>
          <t>Regular</t>
        </is>
      </c>
      <c r="F32" s="89" t="inlineStr">
        <is>
          <t>PENDENTE</t>
        </is>
      </c>
      <c r="G32" s="89" t="inlineStr">
        <is>
          <t>PENDENTE</t>
        </is>
      </c>
      <c r="H32" s="84" t="n">
        <v>0</v>
      </c>
      <c r="I32" s="47">
        <f>IFERROR(IF(E32="Simples Nacional",'Premissas &amp; Cenários'!$B$41,IF(C32="Mão de obra própria",0,IF(OR(C32="Serviços de construção",C32="Comissões de corretagem"),'Premissas &amp; Cenários'!$B$40*(1-'Premissas &amp; Cenários'!$B$34),IF(OR(C32="Projetos e engenharia",C32="Serviços jurídicos e cartórios"),'Premissas &amp; Cenários'!$B$43,'Premissas &amp; Cenários'!$B$40)))),0)</f>
        <v/>
      </c>
      <c r="J32" s="40">
        <f>IFERROR(IF(E32="Simples Nacional",H32*I32,H32*I32/(1+I32)),0)</f>
        <v/>
      </c>
      <c r="K32" s="91">
        <f>IF(OR(D32="PENDENTE",F32="PENDENTE",G32="PENDENTE"),"PENDENTE","OK")</f>
        <v/>
      </c>
      <c r="L32" s="27" t="inlineStr">
        <is>
          <t>Crédito indicativo; validar documento, regime, pagamento, vínculo com o projeto e eventual glosa.</t>
        </is>
      </c>
    </row>
    <row r="33"/>
    <row r="34"/>
    <row r="35" ht="16.5" customHeight="1" thickBot="1">
      <c r="A35" s="8" t="inlineStr">
        <is>
          <t>Memória de RAJ por ativo / terreno / matrícula</t>
        </is>
      </c>
      <c r="B35" s="9" t="n"/>
      <c r="C35" s="9" t="n"/>
      <c r="D35" s="9" t="n"/>
      <c r="E35" s="9" t="n"/>
      <c r="F35" s="9" t="n"/>
      <c r="G35" s="9" t="n"/>
      <c r="H35" s="9" t="n"/>
      <c r="I35" s="9" t="n"/>
    </row>
    <row r="36" ht="26.25" customHeight="1" thickBot="1">
      <c r="A36" s="18" t="inlineStr">
        <is>
          <t>ID</t>
        </is>
      </c>
      <c r="B36" s="18" t="inlineStr">
        <is>
          <t>Ativo / matrícula</t>
        </is>
      </c>
      <c r="C36" s="18" t="inlineStr">
        <is>
          <t>Origem do valor</t>
        </is>
      </c>
      <c r="D36" s="18" t="inlineStr">
        <is>
          <t>Data-base</t>
        </is>
      </c>
      <c r="E36" s="18" t="inlineStr">
        <is>
          <t>Documento</t>
        </is>
      </c>
      <c r="F36" s="18" t="inlineStr">
        <is>
          <t>Valor histórico</t>
        </is>
      </c>
      <c r="G36" s="18" t="inlineStr">
        <is>
          <t>Valor de referência</t>
        </is>
      </c>
      <c r="H36" s="18" t="inlineStr">
        <is>
          <t>RAJ elegível</t>
        </is>
      </c>
      <c r="I36" s="18" t="inlineStr">
        <is>
          <t>Status</t>
        </is>
      </c>
    </row>
    <row r="37">
      <c r="A37" s="89" t="inlineStr">
        <is>
          <t>RAJ001</t>
        </is>
      </c>
      <c r="B37" s="89" t="inlineStr">
        <is>
          <t>PENDENTE</t>
        </is>
      </c>
      <c r="C37" s="89" t="inlineStr">
        <is>
          <t>PENDENTE</t>
        </is>
      </c>
      <c r="D37" s="89" t="inlineStr">
        <is>
          <t>PENDENTE</t>
        </is>
      </c>
      <c r="E37" s="89" t="inlineStr">
        <is>
          <t>PENDENTE</t>
        </is>
      </c>
      <c r="F37" s="84" t="n">
        <v>0</v>
      </c>
      <c r="G37" s="84" t="n">
        <v>0</v>
      </c>
      <c r="H37" s="44">
        <f>'Premissas &amp; Cenários'!$G$57</f>
        <v/>
      </c>
      <c r="I37" s="91">
        <f>IF(OR(B37="PENDENTE",C37="PENDENTE",D37="PENDENTE",E37="PENDENTE"),"PENDENTE","OK")</f>
        <v/>
      </c>
    </row>
    <row r="38">
      <c r="A38" s="89" t="inlineStr">
        <is>
          <t>RAJ002</t>
        </is>
      </c>
      <c r="B38" s="89" t="inlineStr">
        <is>
          <t>PENDENTE</t>
        </is>
      </c>
      <c r="C38" s="89" t="inlineStr">
        <is>
          <t>PENDENTE</t>
        </is>
      </c>
      <c r="D38" s="89" t="inlineStr">
        <is>
          <t>PENDENTE</t>
        </is>
      </c>
      <c r="E38" s="89" t="inlineStr">
        <is>
          <t>PENDENTE</t>
        </is>
      </c>
      <c r="F38" s="84" t="n">
        <v>0</v>
      </c>
      <c r="G38" s="84" t="n">
        <v>0</v>
      </c>
      <c r="H38" s="84" t="n">
        <v>0</v>
      </c>
      <c r="I38" s="91">
        <f>IF(OR(B38="PENDENTE",C38="PENDENTE",D38="PENDENTE",E38="PENDENTE"),"PENDENTE","OK")</f>
        <v/>
      </c>
    </row>
    <row r="39">
      <c r="A39" s="89" t="inlineStr">
        <is>
          <t>RAJ003</t>
        </is>
      </c>
      <c r="B39" s="89" t="inlineStr">
        <is>
          <t>PENDENTE</t>
        </is>
      </c>
      <c r="C39" s="89" t="inlineStr">
        <is>
          <t>PENDENTE</t>
        </is>
      </c>
      <c r="D39" s="89" t="inlineStr">
        <is>
          <t>PENDENTE</t>
        </is>
      </c>
      <c r="E39" s="89" t="inlineStr">
        <is>
          <t>PENDENTE</t>
        </is>
      </c>
      <c r="F39" s="84" t="n">
        <v>0</v>
      </c>
      <c r="G39" s="84" t="n">
        <v>0</v>
      </c>
      <c r="H39" s="84" t="n">
        <v>0</v>
      </c>
      <c r="I39" s="91">
        <f>IF(OR(B39="PENDENTE",C39="PENDENTE",D39="PENDENTE",E39="PENDENTE"),"PENDENTE","OK")</f>
        <v/>
      </c>
    </row>
    <row r="40">
      <c r="A40" s="89" t="inlineStr">
        <is>
          <t>RAJ004</t>
        </is>
      </c>
      <c r="B40" s="89" t="inlineStr">
        <is>
          <t>PENDENTE</t>
        </is>
      </c>
      <c r="C40" s="89" t="inlineStr">
        <is>
          <t>PENDENTE</t>
        </is>
      </c>
      <c r="D40" s="89" t="inlineStr">
        <is>
          <t>PENDENTE</t>
        </is>
      </c>
      <c r="E40" s="89" t="inlineStr">
        <is>
          <t>PENDENTE</t>
        </is>
      </c>
      <c r="F40" s="84" t="n">
        <v>0</v>
      </c>
      <c r="G40" s="84" t="n">
        <v>0</v>
      </c>
      <c r="H40" s="84" t="n">
        <v>0</v>
      </c>
      <c r="I40" s="91">
        <f>IF(OR(B40="PENDENTE",C40="PENDENTE",D40="PENDENTE",E40="PENDENTE"),"PENDENTE","OK")</f>
        <v/>
      </c>
    </row>
    <row r="41">
      <c r="A41" s="89" t="inlineStr">
        <is>
          <t>RAJ005</t>
        </is>
      </c>
      <c r="B41" s="89" t="inlineStr">
        <is>
          <t>PENDENTE</t>
        </is>
      </c>
      <c r="C41" s="89" t="inlineStr">
        <is>
          <t>PENDENTE</t>
        </is>
      </c>
      <c r="D41" s="89" t="inlineStr">
        <is>
          <t>PENDENTE</t>
        </is>
      </c>
      <c r="E41" s="89" t="inlineStr">
        <is>
          <t>PENDENTE</t>
        </is>
      </c>
      <c r="F41" s="84" t="n">
        <v>0</v>
      </c>
      <c r="G41" s="84" t="n">
        <v>0</v>
      </c>
      <c r="H41" s="84" t="n">
        <v>0</v>
      </c>
      <c r="I41" s="91">
        <f>IF(OR(B41="PENDENTE",C41="PENDENTE",D41="PENDENTE",E41="PENDENTE"),"PENDENTE","OK")</f>
        <v/>
      </c>
    </row>
    <row r="42">
      <c r="A42" s="89" t="inlineStr">
        <is>
          <t>RAJ006</t>
        </is>
      </c>
      <c r="B42" s="89" t="inlineStr">
        <is>
          <t>PENDENTE</t>
        </is>
      </c>
      <c r="C42" s="89" t="inlineStr">
        <is>
          <t>PENDENTE</t>
        </is>
      </c>
      <c r="D42" s="89" t="inlineStr">
        <is>
          <t>PENDENTE</t>
        </is>
      </c>
      <c r="E42" s="89" t="inlineStr">
        <is>
          <t>PENDENTE</t>
        </is>
      </c>
      <c r="F42" s="84" t="n">
        <v>0</v>
      </c>
      <c r="G42" s="84" t="n">
        <v>0</v>
      </c>
      <c r="H42" s="84" t="n">
        <v>0</v>
      </c>
      <c r="I42" s="91">
        <f>IF(OR(B42="PENDENTE",C42="PENDENTE",D42="PENDENTE",E42="PENDENTE"),"PENDENTE","OK")</f>
        <v/>
      </c>
    </row>
    <row r="43">
      <c r="A43" s="89" t="inlineStr">
        <is>
          <t>RAJ007</t>
        </is>
      </c>
      <c r="B43" s="89" t="inlineStr">
        <is>
          <t>PENDENTE</t>
        </is>
      </c>
      <c r="C43" s="89" t="inlineStr">
        <is>
          <t>PENDENTE</t>
        </is>
      </c>
      <c r="D43" s="89" t="inlineStr">
        <is>
          <t>PENDENTE</t>
        </is>
      </c>
      <c r="E43" s="89" t="inlineStr">
        <is>
          <t>PENDENTE</t>
        </is>
      </c>
      <c r="F43" s="84" t="n">
        <v>0</v>
      </c>
      <c r="G43" s="84" t="n">
        <v>0</v>
      </c>
      <c r="H43" s="84" t="n">
        <v>0</v>
      </c>
      <c r="I43" s="91">
        <f>IF(OR(B43="PENDENTE",C43="PENDENTE",D43="PENDENTE",E43="PENDENTE"),"PENDENTE","OK")</f>
        <v/>
      </c>
    </row>
    <row r="44">
      <c r="A44" s="89" t="inlineStr">
        <is>
          <t>RAJ008</t>
        </is>
      </c>
      <c r="B44" s="89" t="inlineStr">
        <is>
          <t>PENDENTE</t>
        </is>
      </c>
      <c r="C44" s="89" t="inlineStr">
        <is>
          <t>PENDENTE</t>
        </is>
      </c>
      <c r="D44" s="89" t="inlineStr">
        <is>
          <t>PENDENTE</t>
        </is>
      </c>
      <c r="E44" s="89" t="inlineStr">
        <is>
          <t>PENDENTE</t>
        </is>
      </c>
      <c r="F44" s="84" t="n">
        <v>0</v>
      </c>
      <c r="G44" s="84" t="n">
        <v>0</v>
      </c>
      <c r="H44" s="84" t="n">
        <v>0</v>
      </c>
      <c r="I44" s="91">
        <f>IF(OR(B44="PENDENTE",C44="PENDENTE",D44="PENDENTE",E44="PENDENTE"),"PENDENTE","OK")</f>
        <v/>
      </c>
    </row>
    <row r="45">
      <c r="A45" s="89" t="inlineStr">
        <is>
          <t>RAJ009</t>
        </is>
      </c>
      <c r="B45" s="89" t="inlineStr">
        <is>
          <t>PENDENTE</t>
        </is>
      </c>
      <c r="C45" s="89" t="inlineStr">
        <is>
          <t>PENDENTE</t>
        </is>
      </c>
      <c r="D45" s="89" t="inlineStr">
        <is>
          <t>PENDENTE</t>
        </is>
      </c>
      <c r="E45" s="89" t="inlineStr">
        <is>
          <t>PENDENTE</t>
        </is>
      </c>
      <c r="F45" s="84" t="n">
        <v>0</v>
      </c>
      <c r="G45" s="84" t="n">
        <v>0</v>
      </c>
      <c r="H45" s="84" t="n">
        <v>0</v>
      </c>
      <c r="I45" s="91">
        <f>IF(OR(B45="PENDENTE",C45="PENDENTE",D45="PENDENTE",E45="PENDENTE"),"PENDENTE","OK")</f>
        <v/>
      </c>
    </row>
    <row r="46">
      <c r="A46" s="89" t="inlineStr">
        <is>
          <t>RAJ010</t>
        </is>
      </c>
      <c r="B46" s="89" t="inlineStr">
        <is>
          <t>PENDENTE</t>
        </is>
      </c>
      <c r="C46" s="89" t="inlineStr">
        <is>
          <t>PENDENTE</t>
        </is>
      </c>
      <c r="D46" s="89" t="inlineStr">
        <is>
          <t>PENDENTE</t>
        </is>
      </c>
      <c r="E46" s="89" t="inlineStr">
        <is>
          <t>PENDENTE</t>
        </is>
      </c>
      <c r="F46" s="84" t="n">
        <v>0</v>
      </c>
      <c r="G46" s="84" t="n">
        <v>0</v>
      </c>
      <c r="H46" s="84" t="n">
        <v>0</v>
      </c>
      <c r="I46" s="91">
        <f>IF(OR(B46="PENDENTE",C46="PENDENTE",D46="PENDENTE",E46="PENDENTE"),"PENDENTE","OK")</f>
        <v/>
      </c>
    </row>
    <row r="47">
      <c r="A47" s="89" t="inlineStr">
        <is>
          <t>RAJ011</t>
        </is>
      </c>
      <c r="B47" s="89" t="inlineStr">
        <is>
          <t>PENDENTE</t>
        </is>
      </c>
      <c r="C47" s="89" t="inlineStr">
        <is>
          <t>PENDENTE</t>
        </is>
      </c>
      <c r="D47" s="89" t="inlineStr">
        <is>
          <t>PENDENTE</t>
        </is>
      </c>
      <c r="E47" s="89" t="inlineStr">
        <is>
          <t>PENDENTE</t>
        </is>
      </c>
      <c r="F47" s="84" t="n">
        <v>0</v>
      </c>
      <c r="G47" s="84" t="n">
        <v>0</v>
      </c>
      <c r="H47" s="84" t="n">
        <v>0</v>
      </c>
      <c r="I47" s="91">
        <f>IF(OR(B47="PENDENTE",C47="PENDENTE",D47="PENDENTE",E47="PENDENTE"),"PENDENTE","OK")</f>
        <v/>
      </c>
    </row>
    <row r="48">
      <c r="A48" s="89" t="inlineStr">
        <is>
          <t>RAJ012</t>
        </is>
      </c>
      <c r="B48" s="89" t="inlineStr">
        <is>
          <t>PENDENTE</t>
        </is>
      </c>
      <c r="C48" s="89" t="inlineStr">
        <is>
          <t>PENDENTE</t>
        </is>
      </c>
      <c r="D48" s="89" t="inlineStr">
        <is>
          <t>PENDENTE</t>
        </is>
      </c>
      <c r="E48" s="89" t="inlineStr">
        <is>
          <t>PENDENTE</t>
        </is>
      </c>
      <c r="F48" s="84" t="n">
        <v>0</v>
      </c>
      <c r="G48" s="84" t="n">
        <v>0</v>
      </c>
      <c r="H48" s="84" t="n">
        <v>0</v>
      </c>
      <c r="I48" s="91">
        <f>IF(OR(B48="PENDENTE",C48="PENDENTE",D48="PENDENTE",E48="PENDENTE"),"PENDENTE","OK")</f>
        <v/>
      </c>
    </row>
    <row r="49">
      <c r="A49" s="89" t="inlineStr">
        <is>
          <t>RAJ013</t>
        </is>
      </c>
      <c r="B49" s="89" t="inlineStr">
        <is>
          <t>PENDENTE</t>
        </is>
      </c>
      <c r="C49" s="89" t="inlineStr">
        <is>
          <t>PENDENTE</t>
        </is>
      </c>
      <c r="D49" s="89" t="inlineStr">
        <is>
          <t>PENDENTE</t>
        </is>
      </c>
      <c r="E49" s="89" t="inlineStr">
        <is>
          <t>PENDENTE</t>
        </is>
      </c>
      <c r="F49" s="84" t="n">
        <v>0</v>
      </c>
      <c r="G49" s="84" t="n">
        <v>0</v>
      </c>
      <c r="H49" s="84" t="n">
        <v>0</v>
      </c>
      <c r="I49" s="91">
        <f>IF(OR(B49="PENDENTE",C49="PENDENTE",D49="PENDENTE",E49="PENDENTE"),"PENDENTE","OK")</f>
        <v/>
      </c>
    </row>
    <row r="50">
      <c r="A50" s="89" t="inlineStr">
        <is>
          <t>RAJ014</t>
        </is>
      </c>
      <c r="B50" s="89" t="inlineStr">
        <is>
          <t>PENDENTE</t>
        </is>
      </c>
      <c r="C50" s="89" t="inlineStr">
        <is>
          <t>PENDENTE</t>
        </is>
      </c>
      <c r="D50" s="89" t="inlineStr">
        <is>
          <t>PENDENTE</t>
        </is>
      </c>
      <c r="E50" s="89" t="inlineStr">
        <is>
          <t>PENDENTE</t>
        </is>
      </c>
      <c r="F50" s="84" t="n">
        <v>0</v>
      </c>
      <c r="G50" s="84" t="n">
        <v>0</v>
      </c>
      <c r="H50" s="84" t="n">
        <v>0</v>
      </c>
      <c r="I50" s="91">
        <f>IF(OR(B50="PENDENTE",C50="PENDENTE",D50="PENDENTE",E50="PENDENTE"),"PENDENTE","OK")</f>
        <v/>
      </c>
    </row>
    <row r="51">
      <c r="A51" s="89" t="inlineStr">
        <is>
          <t>RAJ015</t>
        </is>
      </c>
      <c r="B51" s="89" t="inlineStr">
        <is>
          <t>PENDENTE</t>
        </is>
      </c>
      <c r="C51" s="89" t="inlineStr">
        <is>
          <t>PENDENTE</t>
        </is>
      </c>
      <c r="D51" s="89" t="inlineStr">
        <is>
          <t>PENDENTE</t>
        </is>
      </c>
      <c r="E51" s="89" t="inlineStr">
        <is>
          <t>PENDENTE</t>
        </is>
      </c>
      <c r="F51" s="84" t="n">
        <v>0</v>
      </c>
      <c r="G51" s="84" t="n">
        <v>0</v>
      </c>
      <c r="H51" s="84" t="n">
        <v>0</v>
      </c>
      <c r="I51" s="91">
        <f>IF(OR(B51="PENDENTE",C51="PENDENTE",D51="PENDENTE",E51="PENDENTE"),"PENDENTE","OK")</f>
        <v/>
      </c>
    </row>
    <row r="52">
      <c r="A52" s="89" t="inlineStr">
        <is>
          <t>RAJ016</t>
        </is>
      </c>
      <c r="B52" s="89" t="inlineStr">
        <is>
          <t>PENDENTE</t>
        </is>
      </c>
      <c r="C52" s="89" t="inlineStr">
        <is>
          <t>PENDENTE</t>
        </is>
      </c>
      <c r="D52" s="89" t="inlineStr">
        <is>
          <t>PENDENTE</t>
        </is>
      </c>
      <c r="E52" s="89" t="inlineStr">
        <is>
          <t>PENDENTE</t>
        </is>
      </c>
      <c r="F52" s="84" t="n">
        <v>0</v>
      </c>
      <c r="G52" s="84" t="n">
        <v>0</v>
      </c>
      <c r="H52" s="84" t="n">
        <v>0</v>
      </c>
      <c r="I52" s="91">
        <f>IF(OR(B52="PENDENTE",C52="PENDENTE",D52="PENDENTE",E52="PENDENTE"),"PENDENTE","OK")</f>
        <v/>
      </c>
    </row>
    <row r="53">
      <c r="A53" s="89" t="inlineStr">
        <is>
          <t>RAJ017</t>
        </is>
      </c>
      <c r="B53" s="89" t="inlineStr">
        <is>
          <t>PENDENTE</t>
        </is>
      </c>
      <c r="C53" s="89" t="inlineStr">
        <is>
          <t>PENDENTE</t>
        </is>
      </c>
      <c r="D53" s="89" t="inlineStr">
        <is>
          <t>PENDENTE</t>
        </is>
      </c>
      <c r="E53" s="89" t="inlineStr">
        <is>
          <t>PENDENTE</t>
        </is>
      </c>
      <c r="F53" s="84" t="n">
        <v>0</v>
      </c>
      <c r="G53" s="84" t="n">
        <v>0</v>
      </c>
      <c r="H53" s="84" t="n">
        <v>0</v>
      </c>
      <c r="I53" s="91">
        <f>IF(OR(B53="PENDENTE",C53="PENDENTE",D53="PENDENTE",E53="PENDENTE"),"PENDENTE","OK")</f>
        <v/>
      </c>
    </row>
    <row r="54">
      <c r="A54" s="89" t="inlineStr">
        <is>
          <t>RAJ018</t>
        </is>
      </c>
      <c r="B54" s="89" t="inlineStr">
        <is>
          <t>PENDENTE</t>
        </is>
      </c>
      <c r="C54" s="89" t="inlineStr">
        <is>
          <t>PENDENTE</t>
        </is>
      </c>
      <c r="D54" s="89" t="inlineStr">
        <is>
          <t>PENDENTE</t>
        </is>
      </c>
      <c r="E54" s="89" t="inlineStr">
        <is>
          <t>PENDENTE</t>
        </is>
      </c>
      <c r="F54" s="84" t="n">
        <v>0</v>
      </c>
      <c r="G54" s="84" t="n">
        <v>0</v>
      </c>
      <c r="H54" s="84" t="n">
        <v>0</v>
      </c>
      <c r="I54" s="91">
        <f>IF(OR(B54="PENDENTE",C54="PENDENTE",D54="PENDENTE",E54="PENDENTE"),"PENDENTE","OK")</f>
        <v/>
      </c>
    </row>
    <row r="55">
      <c r="A55" s="89" t="inlineStr">
        <is>
          <t>RAJ019</t>
        </is>
      </c>
      <c r="B55" s="89" t="inlineStr">
        <is>
          <t>PENDENTE</t>
        </is>
      </c>
      <c r="C55" s="89" t="inlineStr">
        <is>
          <t>PENDENTE</t>
        </is>
      </c>
      <c r="D55" s="89" t="inlineStr">
        <is>
          <t>PENDENTE</t>
        </is>
      </c>
      <c r="E55" s="89" t="inlineStr">
        <is>
          <t>PENDENTE</t>
        </is>
      </c>
      <c r="F55" s="84" t="n">
        <v>0</v>
      </c>
      <c r="G55" s="84" t="n">
        <v>0</v>
      </c>
      <c r="H55" s="84" t="n">
        <v>0</v>
      </c>
      <c r="I55" s="91">
        <f>IF(OR(B55="PENDENTE",C55="PENDENTE",D55="PENDENTE",E55="PENDENTE"),"PENDENTE","OK")</f>
        <v/>
      </c>
    </row>
    <row r="56">
      <c r="A56" s="89" t="inlineStr">
        <is>
          <t>RAJ020</t>
        </is>
      </c>
      <c r="B56" s="89" t="inlineStr">
        <is>
          <t>PENDENTE</t>
        </is>
      </c>
      <c r="C56" s="89" t="inlineStr">
        <is>
          <t>PENDENTE</t>
        </is>
      </c>
      <c r="D56" s="89" t="inlineStr">
        <is>
          <t>PENDENTE</t>
        </is>
      </c>
      <c r="E56" s="89" t="inlineStr">
        <is>
          <t>PENDENTE</t>
        </is>
      </c>
      <c r="F56" s="84" t="n">
        <v>0</v>
      </c>
      <c r="G56" s="84" t="n">
        <v>0</v>
      </c>
      <c r="H56" s="84" t="n">
        <v>0</v>
      </c>
      <c r="I56" s="91">
        <f>IF(OR(B56="PENDENTE",C56="PENDENTE",D56="PENDENTE",E56="PENDENTE"),"PENDENTE","OK")</f>
        <v/>
      </c>
    </row>
  </sheetData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zoomScale="80" zoomScaleNormal="80" workbookViewId="0">
      <selection activeCell="C12" sqref="C12"/>
    </sheetView>
  </sheetViews>
  <sheetFormatPr baseColWidth="8" defaultColWidth="8.5703125" defaultRowHeight="15"/>
  <cols>
    <col width="32.5703125" customWidth="1" min="1" max="1"/>
    <col width="24.140625" customWidth="1" min="2" max="2"/>
    <col width="44" customWidth="1" min="3" max="4"/>
    <col width="23.7109375" bestFit="1" customWidth="1" min="5" max="5"/>
    <col width="44" customWidth="1" min="6" max="7"/>
    <col width="15.7109375" bestFit="1" customWidth="1" min="8" max="8"/>
  </cols>
  <sheetData>
    <row r="1" ht="24" customHeight="1">
      <c r="B1" s="1" t="inlineStr">
        <is>
          <t>Matriz Normativa &amp; Governança</t>
        </is>
      </c>
      <c r="C1" s="2" t="n"/>
      <c r="D1" s="2" t="n"/>
      <c r="E1" s="2" t="n"/>
      <c r="F1" s="2" t="n"/>
      <c r="G1" s="2" t="n"/>
      <c r="H1" s="2" t="n"/>
    </row>
    <row r="2"/>
    <row r="3">
      <c r="B3" s="96" t="inlineStr">
        <is>
          <t>Controle de versão, matriz normativa, status de dados e gate de uso consultivo.</t>
        </is>
      </c>
    </row>
    <row r="4">
      <c r="B4" s="97" t="inlineStr">
        <is>
          <t>Status “APTO PARA USO CONSULTIVO” não equivale a autorização para apuração fiscal ou emissão de parecer sem revisão profissional.</t>
        </is>
      </c>
    </row>
    <row r="5"/>
    <row r="6" ht="15.75" customHeight="1">
      <c r="A6" s="8" t="inlineStr">
        <is>
          <t>Controle do trabalho</t>
        </is>
      </c>
      <c r="B6" s="9" t="n"/>
      <c r="C6" s="9" t="n"/>
      <c r="D6" s="9" t="n"/>
      <c r="E6" s="9" t="n"/>
      <c r="F6" s="9" t="n"/>
      <c r="G6" s="9" t="n"/>
      <c r="H6" s="9" t="n"/>
    </row>
    <row r="7"/>
    <row r="8" ht="30" customHeight="1">
      <c r="A8" s="10" t="inlineStr">
        <is>
          <t>Modo de cálculo</t>
        </is>
      </c>
      <c r="C8" s="89" t="inlineStr">
        <is>
          <t>Transição temporal</t>
        </is>
      </c>
      <c r="E8" s="10" t="inlineStr">
        <is>
          <t>Status transição</t>
        </is>
      </c>
      <c r="G8" s="93">
        <f>IF(COUNTIF('Transição Tributária'!$I$13:$I$20,"PENDENTE")&gt;0,"PENDENTE","OK")</f>
        <v/>
      </c>
    </row>
    <row r="9" ht="30" customHeight="1">
      <c r="A9" s="10" t="inlineStr">
        <is>
          <t>Responsável tributário</t>
        </is>
      </c>
      <c r="C9" s="89" t="inlineStr">
        <is>
          <t>PENDENTE</t>
        </is>
      </c>
      <c r="E9" s="10" t="inlineStr">
        <is>
          <t>Status unidades</t>
        </is>
      </c>
      <c r="G9" s="93">
        <f>IF(COUNTIF('Cadastro Unidades'!$I$13:$I$112,"PENDENTE")&gt;0,"PENDENTE","OK")</f>
        <v/>
      </c>
    </row>
    <row r="10" ht="30" customHeight="1">
      <c r="A10" s="10" t="inlineStr">
        <is>
          <t>Revisor independente</t>
        </is>
      </c>
      <c r="C10" s="89" t="inlineStr">
        <is>
          <t>PENDENTE</t>
        </is>
      </c>
      <c r="E10" s="10" t="inlineStr">
        <is>
          <t>Status créditos / RAJ</t>
        </is>
      </c>
      <c r="G10" s="93">
        <f>IF(OR(COUNTIF('Créditos &amp; RAJ'!$K$13:$K$32,"PENDENTE")&gt;0,COUNTIF('Créditos &amp; RAJ'!$I$37:$I$56,"PENDENTE")&gt;0),"PENDENTE","OK")</f>
        <v/>
      </c>
    </row>
    <row r="11" ht="30" customHeight="1">
      <c r="A11" s="10" t="inlineStr">
        <is>
          <t>Data da revisão</t>
        </is>
      </c>
      <c r="C11" s="94" t="n">
        <v>46253</v>
      </c>
      <c r="E11" s="10" t="inlineStr">
        <is>
          <t>Status checks matemáticos</t>
        </is>
      </c>
      <c r="G11" s="93">
        <f>IF(OR(Fluxo_Incorporacao!$C$39="",Fluxo_Incorporacao!$C$112="",Fluxo_Incorporacao!$C$113="",'DRE Empreendimento'!$E$33="",'DRE Empreendimento'!$E$43=""),"PENDENTE",IF(AND(ROUND(IFERROR(Fluxo_Incorporacao!$C$39,999999),2)=0,ROUND(IFERROR(Fluxo_Incorporacao!$C$112,999999),2)=0,ROUND(IFERROR(Fluxo_Incorporacao!$C$113,999999),2)=0,ROUND(IFERROR('DRE Empreendimento'!$E$33,999999),2)=0,ROUND(IFERROR('DRE Empreendimento'!$E$43,999999),2)=0),"OK","REVISAR"))</f>
        <v/>
      </c>
    </row>
    <row r="12">
      <c r="A12" s="10" t="inlineStr">
        <is>
          <t>Cliente / projeto</t>
        </is>
      </c>
      <c r="C12" s="89" t="inlineStr">
        <is>
          <t>SPE — empreendimento de incorporação</t>
        </is>
      </c>
      <c r="E12" s="10" t="inlineStr">
        <is>
          <t>Status matriz normativa</t>
        </is>
      </c>
      <c r="G12" s="85">
        <f>IF(COUNTIF($G$20:$G$33,"PENDENTE")&gt;0,"PENDENTE","OK")</f>
        <v/>
      </c>
    </row>
    <row r="13" ht="30" customHeight="1">
      <c r="A13" s="10" t="inlineStr">
        <is>
          <t>Uso permitido</t>
        </is>
      </c>
      <c r="C13" s="91">
        <f>G13</f>
        <v/>
      </c>
      <c r="E13" s="10" t="inlineStr">
        <is>
          <t>Status de prontidão</t>
        </is>
      </c>
      <c r="G13" s="92">
        <f>IF(G11&lt;&gt;"OK","BLOQUEADO — COMPLETAR CONTROLES",IF(C8="Alíquota plena — sensibilidade","APTO PARA CONSULTORIA PRELIMINAR — SUJEITO A REVISÃO",IF(G8&lt;&gt;"OK","BLOQUEADO — COMPLETAR CONTROLES",IF(AND(G9="OK",G10="OK",G12="OK"),"APTO PARA CONSULTORIA — SUJEITO A REVISÃO","APTO PARA CONSULTORIA PRELIMINAR — SUJEITO A REVISÃO"))))</f>
        <v/>
      </c>
    </row>
    <row r="14">
      <c r="E14" s="10" t="inlineStr">
        <is>
          <t>Pontuação de prontidão</t>
        </is>
      </c>
      <c r="G14" s="95">
        <f>COUNTIF(G8:G12,"OK")/5</f>
        <v/>
      </c>
    </row>
    <row r="15" ht="30" customHeight="1">
      <c r="E15" s="10" t="inlineStr">
        <is>
          <t>Gate fiscal</t>
        </is>
      </c>
      <c r="G15" s="92">
        <f>IF(AND(C8="Transição temporal",G8="OK",G9="OK",G10="OK",G11="OK",G12="OK"),"REVISÃO FISCAL FINAL NECESSÁRIA","BLOQUEADO — NÃO USAR PARA APURAÇÃO")</f>
        <v/>
      </c>
    </row>
    <row r="16"/>
    <row r="17"/>
    <row r="18" ht="15.75" customHeight="1">
      <c r="A18" s="8" t="inlineStr">
        <is>
          <t>Matriz normativa versionada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18" t="inlineStr">
        <is>
          <t>Tema</t>
        </is>
      </c>
      <c r="B19" s="18" t="inlineStr">
        <is>
          <t>Dispositivo</t>
        </is>
      </c>
      <c r="C19" s="18" t="inlineStr">
        <is>
          <t>Aplicação na planilha</t>
        </is>
      </c>
      <c r="D19" s="18" t="inlineStr">
        <is>
          <t>Fonte oficial</t>
        </is>
      </c>
      <c r="E19" s="18" t="inlineStr">
        <is>
          <t>Data consulta</t>
        </is>
      </c>
      <c r="F19" s="18" t="inlineStr">
        <is>
          <t>Versão / observação</t>
        </is>
      </c>
      <c r="G19" s="18" t="inlineStr">
        <is>
          <t>Status</t>
        </is>
      </c>
      <c r="H19" s="18" t="inlineStr">
        <is>
          <t>Responsável</t>
        </is>
      </c>
    </row>
    <row r="20" ht="30" customHeight="1">
      <c r="A20" s="83" t="inlineStr">
        <is>
          <t>Incidência sobre operação onerosa</t>
        </is>
      </c>
      <c r="B20" s="83" t="inlineStr">
        <is>
          <t>Art. 4</t>
        </is>
      </c>
      <c r="C20" s="83" t="inlineStr">
        <is>
          <t>Venda, troca e permuta; condiciona a classificação da operação.</t>
        </is>
      </c>
      <c r="D20" s="89" t="inlineStr">
        <is>
          <t>https://www.planalto.gov.br/ccivil_03/leis/lcp/lcp214.htm</t>
        </is>
      </c>
      <c r="E20" s="94" t="n">
        <v>46253</v>
      </c>
      <c r="F20" s="27" t="inlineStr">
        <is>
          <t>Texto compilado; conferir alterações da LC 227/2026.</t>
        </is>
      </c>
      <c r="G20" s="89" t="inlineStr">
        <is>
          <t>PENDENTE</t>
        </is>
      </c>
      <c r="H20" s="89" t="inlineStr">
        <is>
          <t>PENDENTE</t>
        </is>
      </c>
    </row>
    <row r="21" ht="65.25" customHeight="1">
      <c r="A21" s="83" t="inlineStr">
        <is>
          <t>Momento do fato gerador e antecipações</t>
        </is>
      </c>
      <c r="B21" s="83" t="inlineStr">
        <is>
          <t>Art. 10</t>
        </is>
      </c>
      <c r="C21" s="83" t="inlineStr">
        <is>
          <t>Pagamentos antes do fornecimento, documento fiscal e ajustes.</t>
        </is>
      </c>
      <c r="D21" s="89" t="inlineStr">
        <is>
          <t>https://www.planalto.gov.br/ccivil_03/leis/lcp/lcp214.htm</t>
        </is>
      </c>
      <c r="E21" s="94" t="n">
        <v>46253</v>
      </c>
      <c r="F21" s="27" t="inlineStr">
        <is>
          <t>Exige módulo de eventos e distratos.</t>
        </is>
      </c>
      <c r="G21" s="89" t="inlineStr">
        <is>
          <t>PENDENTE</t>
        </is>
      </c>
      <c r="H21" s="89" t="inlineStr">
        <is>
          <t>PENDENTE</t>
        </is>
      </c>
    </row>
    <row r="22" ht="48" customHeight="1">
      <c r="A22" s="83" t="inlineStr">
        <is>
          <t>Créditos de aquisição</t>
        </is>
      </c>
      <c r="B22" s="83" t="inlineStr">
        <is>
          <t>Art. 47</t>
        </is>
      </c>
      <c r="C22" s="83" t="inlineStr">
        <is>
          <t>Créditos de obra e despesas; validar documento e regime.</t>
        </is>
      </c>
      <c r="D22" s="89" t="inlineStr">
        <is>
          <t>https://www.planalto.gov.br/ccivil_03/leis/lcp/lcp214.htm</t>
        </is>
      </c>
      <c r="E22" s="94" t="n">
        <v>46253</v>
      </c>
      <c r="F22" s="27" t="inlineStr">
        <is>
          <t>A média é apenas proxy; apuração deve ser documental.</t>
        </is>
      </c>
      <c r="G22" s="89" t="inlineStr">
        <is>
          <t>PENDENTE</t>
        </is>
      </c>
      <c r="H22" s="89" t="inlineStr">
        <is>
          <t>PENDENTE</t>
        </is>
      </c>
    </row>
    <row r="23" ht="33" customHeight="1">
      <c r="A23" s="83" t="inlineStr">
        <is>
          <t>Serviços intelectuais</t>
        </is>
      </c>
      <c r="B23" s="83" t="inlineStr">
        <is>
          <t>Art. 127</t>
        </is>
      </c>
      <c r="C23" s="83" t="inlineStr">
        <is>
          <t>Projetos e jurídico; aplicar redução somente se elegível.</t>
        </is>
      </c>
      <c r="D23" s="89" t="inlineStr">
        <is>
          <t>https://www.planalto.gov.br/ccivil_03/leis/lcp/lcp214.htm</t>
        </is>
      </c>
      <c r="E23" s="94" t="n">
        <v>46253</v>
      </c>
      <c r="F23" s="27" t="inlineStr">
        <is>
          <t>Confirmar fornecedor e descrição do serviço.</t>
        </is>
      </c>
      <c r="G23" s="89" t="inlineStr">
        <is>
          <t>PENDENTE</t>
        </is>
      </c>
      <c r="H23" s="89" t="inlineStr">
        <is>
          <t>PENDENTE</t>
        </is>
      </c>
    </row>
    <row r="24" ht="25.5" customHeight="1">
      <c r="A24" s="83" t="inlineStr">
        <is>
          <t>Regime específico imobiliário</t>
        </is>
      </c>
      <c r="B24" s="83" t="inlineStr">
        <is>
          <t>Arts. 255 a 261</t>
        </is>
      </c>
      <c r="C24" s="83" t="inlineStr">
        <is>
          <t>Base, RAJ, redutor social e alíquotas reduzidas.</t>
        </is>
      </c>
      <c r="D24" s="89" t="inlineStr">
        <is>
          <t>https://www.planalto.gov.br/ccivil_03/leis/lcp/lcp214.htm</t>
        </is>
      </c>
      <c r="E24" s="94" t="n">
        <v>46253</v>
      </c>
      <c r="F24" s="27" t="inlineStr">
        <is>
          <t>Redação compilada e regulamentação devem ser revisadas.</t>
        </is>
      </c>
      <c r="G24" s="89" t="inlineStr">
        <is>
          <t>PENDENTE</t>
        </is>
      </c>
      <c r="H24" s="89" t="inlineStr">
        <is>
          <t>PENDENTE</t>
        </is>
      </c>
    </row>
    <row r="25" ht="38.25" customHeight="1">
      <c r="A25" s="83" t="inlineStr">
        <is>
          <t>Alíquotas de teste</t>
        </is>
      </c>
      <c r="B25" s="83" t="inlineStr">
        <is>
          <t>Arts. 343 e 346</t>
        </is>
      </c>
      <c r="C25" s="83" t="inlineStr">
        <is>
          <t>2026: IBS 0,1% e CBS 0,9%; compensação e obrigações acessórias.</t>
        </is>
      </c>
      <c r="D25" s="89" t="inlineStr">
        <is>
          <t>https://www.gov.br/receitafederal/pt-br/acesso-a-informacao/acoes-e-programas/programas-e-atividades/reforma-tributaria-do-consumo/entenda</t>
        </is>
      </c>
      <c r="E25" s="94" t="n">
        <v>46253</v>
      </c>
      <c r="F25" s="27" t="inlineStr">
        <is>
          <t>Usar apenas após validar período e cumprimento das obrigações.</t>
        </is>
      </c>
      <c r="G25" s="89" t="inlineStr">
        <is>
          <t>PENDENTE</t>
        </is>
      </c>
      <c r="H25" s="89" t="inlineStr">
        <is>
          <t>PENDENTE</t>
        </is>
      </c>
    </row>
    <row r="26" ht="36" customHeight="1">
      <c r="A26" s="83" t="inlineStr">
        <is>
          <t>Alterações posteriores</t>
        </is>
      </c>
      <c r="B26" s="83" t="inlineStr">
        <is>
          <t>LC 227/2026</t>
        </is>
      </c>
      <c r="C26" s="83" t="inlineStr">
        <is>
          <t>Atualizações sobre comitê gestor e redação compilada.</t>
        </is>
      </c>
      <c r="D26" s="89" t="inlineStr">
        <is>
          <t>https://www.planalto.gov.br/ccivil_03/leis/lcp/lcp227.htm</t>
        </is>
      </c>
      <c r="E26" s="94" t="n">
        <v>46253</v>
      </c>
      <c r="F26" s="27" t="inlineStr">
        <is>
          <t>Controlar versão normativa e data de revisão.</t>
        </is>
      </c>
      <c r="G26" s="89" t="inlineStr">
        <is>
          <t>PENDENTE</t>
        </is>
      </c>
      <c r="H26" s="89" t="inlineStr">
        <is>
          <t>PENDENTE</t>
        </is>
      </c>
    </row>
    <row r="27" ht="30" customHeight="1">
      <c r="A27" s="83" t="inlineStr">
        <is>
          <t>Regulamentação</t>
        </is>
      </c>
      <c r="B27" s="83" t="inlineStr">
        <is>
          <t>Decreto 12.955/2026</t>
        </is>
      </c>
      <c r="C27" s="83" t="inlineStr">
        <is>
          <t>Regulamento citado na versão compilada da LC 214.</t>
        </is>
      </c>
      <c r="D27" s="89" t="inlineStr">
        <is>
          <t>https://www.planalto.gov.br/ccivil_03/_ato2023-2026/2026/decreto/d12955.htm</t>
        </is>
      </c>
      <c r="E27" s="94" t="n">
        <v>46253</v>
      </c>
      <c r="F27" s="27" t="inlineStr">
        <is>
          <t>Confirmar impacto nos módulos aplicáveis.</t>
        </is>
      </c>
      <c r="G27" s="89" t="inlineStr">
        <is>
          <t>PENDENTE</t>
        </is>
      </c>
      <c r="H27" s="89" t="inlineStr">
        <is>
          <t>PENDENTE</t>
        </is>
      </c>
    </row>
    <row r="28" ht="45" customHeight="1">
      <c r="A28" s="83" t="inlineStr">
        <is>
          <t>Identificação normativa</t>
        </is>
      </c>
      <c r="B28" s="83" t="inlineStr">
        <is>
          <t>LC 214/2025</t>
        </is>
      </c>
      <c r="C28" s="83" t="inlineStr">
        <is>
          <t>Norma principal do trabalho.</t>
        </is>
      </c>
      <c r="D28" s="89" t="inlineStr">
        <is>
          <t>https://legis.senado.gov.br/norma/40180341</t>
        </is>
      </c>
      <c r="E28" s="94" t="n">
        <v>46253</v>
      </c>
      <c r="F28" s="27" t="inlineStr">
        <is>
          <t>Fonte de identificação e publicação original.</t>
        </is>
      </c>
      <c r="G28" s="89" t="inlineStr">
        <is>
          <t>PENDENTE</t>
        </is>
      </c>
      <c r="H28" s="89" t="inlineStr">
        <is>
          <t>PENDENTE</t>
        </is>
      </c>
    </row>
    <row r="29">
      <c r="A29" s="83" t="inlineStr">
        <is>
          <t>Permuta de imóveis</t>
        </is>
      </c>
      <c r="B29" s="83" t="inlineStr">
        <is>
          <t>Art. 252, §2º</t>
        </is>
      </c>
      <c r="C29" s="83" t="inlineStr">
        <is>
          <t>Permuta não tributada, exceto a torna; base de vendas exclui a permuta física.</t>
        </is>
      </c>
      <c r="D29" s="89" t="inlineStr">
        <is>
          <t>https://www.planalto.gov.br/ccivil_03/leis/lcp/lcp214.htm</t>
        </is>
      </c>
      <c r="E29" s="94" t="n">
        <v>46300</v>
      </c>
      <c r="F29" s="27" t="inlineStr">
        <is>
          <t>Validar RAJ proporcional na permuta por unidades a construir.</t>
        </is>
      </c>
      <c r="G29" s="89" t="inlineStr">
        <is>
          <t>PENDENTE</t>
        </is>
      </c>
      <c r="H29" s="89" t="inlineStr">
        <is>
          <t>PENDENTE</t>
        </is>
      </c>
    </row>
    <row r="30">
      <c r="A30" s="83" t="inlineStr">
        <is>
          <t>Redução de alíquota imobiliária</t>
        </is>
      </c>
      <c r="B30" s="83" t="inlineStr">
        <is>
          <t>Art. 261</t>
        </is>
      </c>
      <c r="C30" s="83" t="inlineStr">
        <is>
          <t>50% em venda, construção, administração e intermediação; 70% em locação.</t>
        </is>
      </c>
      <c r="D30" s="89" t="inlineStr">
        <is>
          <t>https://www.planalto.gov.br/ccivil_03/leis/lcp/lcp214.htm</t>
        </is>
      </c>
      <c r="E30" s="94" t="n">
        <v>46300</v>
      </c>
      <c r="F30" s="27" t="inlineStr">
        <is>
          <t>Aplicada no débito e no crédito de serviços de construção e corretagem.</t>
        </is>
      </c>
      <c r="G30" s="89" t="inlineStr">
        <is>
          <t>PENDENTE</t>
        </is>
      </c>
      <c r="H30" s="89" t="inlineStr">
        <is>
          <t>PENDENTE</t>
        </is>
      </c>
    </row>
    <row r="31">
      <c r="A31" s="83" t="inlineStr">
        <is>
          <t>RET de transição</t>
        </is>
      </c>
      <c r="B31" s="83" t="inlineStr">
        <is>
          <t>Art. 485</t>
        </is>
      </c>
      <c r="C31" s="83" t="inlineStr">
        <is>
          <t>4% total (1,92% IRPJ/CSLL + 2,08% IBS/CBS), sem créditos; opção antes de 01/01/2029.</t>
        </is>
      </c>
      <c r="D31" s="89" t="inlineStr">
        <is>
          <t>https://www.planalto.gov.br/ccivil_03/leis/lcp/lcp214.htm</t>
        </is>
      </c>
      <c r="E31" s="94" t="n">
        <v>46300</v>
      </c>
      <c r="F31" s="27" t="inlineStr">
        <is>
          <t>Interesse social: 1% (0,47% + 0,53%).</t>
        </is>
      </c>
      <c r="G31" s="89" t="inlineStr">
        <is>
          <t>PENDENTE</t>
        </is>
      </c>
      <c r="H31" s="89" t="inlineStr">
        <is>
          <t>PENDENTE</t>
        </is>
      </c>
    </row>
    <row r="32">
      <c r="A32" s="83" t="inlineStr">
        <is>
          <t>Ano-teste 2026</t>
        </is>
      </c>
      <c r="B32" s="83" t="inlineStr">
        <is>
          <t>ADCT, art. 125, §4º; LC 214, art. 348</t>
        </is>
      </c>
      <c r="C32" s="83" t="inlineStr">
        <is>
          <t>Dispensa do recolhimento de CBS 0,9% e IBS 0,1% com obrigações acessórias cumpridas.</t>
        </is>
      </c>
      <c r="D32" s="89" t="inlineStr">
        <is>
          <t>https://www.planalto.gov.br/ccivil_03/constituicao/constituicao.htm</t>
        </is>
      </c>
      <c r="E32" s="94" t="n">
        <v>46300</v>
      </c>
      <c r="F32" s="27" t="inlineStr">
        <is>
          <t>PIS/Cofins continuam devidos em 2026.</t>
        </is>
      </c>
      <c r="G32" s="89" t="inlineStr">
        <is>
          <t>PENDENTE</t>
        </is>
      </c>
      <c r="H32" s="89" t="inlineStr">
        <is>
          <t>PENDENTE</t>
        </is>
      </c>
    </row>
    <row r="33">
      <c r="A33" s="83" t="inlineStr">
        <is>
          <t>Presunção do Lucro Presumido</t>
        </is>
      </c>
      <c r="B33" s="83" t="inlineStr">
        <is>
          <t>LC 224/2025</t>
        </is>
      </c>
      <c r="C33" s="83" t="inlineStr">
        <is>
          <t>Acréscimo de 10% na presunção sobre a receita acima de R$ 5 mi/ano.</t>
        </is>
      </c>
      <c r="D33" s="89" t="inlineStr">
        <is>
          <t>https://www.planalto.gov.br/ccivil_03/leis/lcp/lcp224.htm</t>
        </is>
      </c>
      <c r="E33" s="94" t="n">
        <v>46300</v>
      </c>
      <c r="F33" s="27" t="inlineStr">
        <is>
          <t>Há liminares suspendendo; parâmetro em Premissas, B105.</t>
        </is>
      </c>
      <c r="G33" s="89" t="inlineStr">
        <is>
          <t>PENDENTE</t>
        </is>
      </c>
      <c r="H33" s="89" t="inlineStr">
        <is>
          <t>PENDENTE</t>
        </is>
      </c>
    </row>
  </sheetData>
  <dataValidations count="1">
    <dataValidation sqref="C8" showDropDown="0" showInputMessage="0" showErrorMessage="0" allowBlank="0" type="list">
      <formula1>"Alíquota plena — sensibilidade,Transição temporal"</formula1>
      <formula2>0</formula2>
    </dataValidation>
  </dataValidations>
  <pageMargins left="0.75" right="0.75" top="1" bottom="1" header="0.511811023622047" footer="0.5"/>
  <pageSetup orientation="landscape" fitToHeight="0" horizontalDpi="300" verticalDpi="300"/>
  <headerFooter>
    <oddHeader/>
    <oddFooter>&amp;C&amp;A | Página &amp;P de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2026-10-05T18:39:08Z</dcterms:created>
  <dcterms:modified xsi:type="dcterms:W3CDTF">2026-10-05T18:39:08Z</dcterms:modified>
  <cp:lastModifiedBy>João Teixeira</cp:lastModifiedBy>
</cp:coreProperties>
</file>